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drawings/drawing3.xml" ContentType="application/vnd.openxmlformats-officedocument.drawing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-108" yWindow="-108" windowWidth="20736" windowHeight="11760"/>
  </bookViews>
  <sheets>
    <sheet name="Sheet1" sheetId="2" r:id="rId1"/>
    <sheet name="Sheet2" sheetId="3" r:id="rId2"/>
    <sheet name="Sheet3" sheetId="33" r:id="rId3"/>
    <sheet name="Sheet4" sheetId="5" r:id="rId4"/>
  </sheets>
  <externalReferences>
    <externalReference r:id="rId5"/>
    <externalReference r:id="rId6"/>
  </externalReferences>
  <definedNames>
    <definedName name="_xlnm._FilterDatabase" localSheetId="1" hidden="1">Sheet2!#REF!</definedName>
  </definedNames>
  <calcPr calcId="144525"/>
</workbook>
</file>

<file path=xl/calcChain.xml><?xml version="1.0" encoding="utf-8"?>
<calcChain xmlns="http://schemas.openxmlformats.org/spreadsheetml/2006/main">
  <c r="J220" i="3" l="1"/>
  <c r="J189" i="3"/>
  <c r="J191" i="3"/>
  <c r="J190" i="3"/>
  <c r="H45" i="3" l="1"/>
  <c r="H39" i="3"/>
  <c r="H40" i="3"/>
  <c r="H41" i="3"/>
  <c r="H42" i="3"/>
  <c r="H43" i="3"/>
  <c r="H44" i="3"/>
  <c r="H46" i="3"/>
  <c r="H47" i="3"/>
  <c r="H48" i="3"/>
  <c r="H38" i="3"/>
  <c r="I4" i="3" l="1"/>
  <c r="I107" i="2" l="1"/>
  <c r="I84" i="2"/>
  <c r="I58" i="2"/>
  <c r="I33" i="2"/>
  <c r="I3" i="2"/>
  <c r="H56" i="3" l="1"/>
  <c r="H112" i="2" l="1"/>
  <c r="I85" i="2"/>
  <c r="I86" i="2"/>
  <c r="I111" i="2" l="1"/>
  <c r="I110" i="2"/>
  <c r="I109" i="2"/>
  <c r="I112" i="2"/>
  <c r="I108" i="2"/>
  <c r="I59" i="2"/>
  <c r="I60" i="2"/>
  <c r="I61" i="2"/>
  <c r="I34" i="2"/>
  <c r="I35" i="2"/>
  <c r="I4" i="2" l="1"/>
  <c r="I5" i="2"/>
  <c r="I6" i="2"/>
  <c r="I7" i="2"/>
  <c r="I13" i="3" l="1"/>
  <c r="F112" i="2"/>
  <c r="G112" i="2"/>
  <c r="H57" i="3" l="1"/>
  <c r="K194" i="3" l="1"/>
  <c r="J192" i="3" l="1"/>
  <c r="AE114" i="2"/>
  <c r="AD114" i="2"/>
  <c r="AE113" i="2"/>
  <c r="AD113" i="2"/>
  <c r="AE112" i="2"/>
  <c r="AD112" i="2"/>
  <c r="AE111" i="2"/>
  <c r="AD111" i="2"/>
  <c r="AE110" i="2"/>
  <c r="AD110" i="2"/>
  <c r="AE109" i="2"/>
  <c r="AD109" i="2"/>
  <c r="J224" i="3" l="1"/>
  <c r="J223" i="3"/>
  <c r="J221" i="3"/>
  <c r="J222" i="3"/>
  <c r="I8" i="3"/>
  <c r="I11" i="3"/>
  <c r="I12" i="3"/>
  <c r="I9" i="3"/>
  <c r="I5" i="3"/>
  <c r="I6" i="3"/>
  <c r="I7" i="3"/>
  <c r="I14" i="3"/>
  <c r="I10" i="3"/>
  <c r="J225" i="3"/>
  <c r="K8" i="3" l="1"/>
</calcChain>
</file>

<file path=xl/sharedStrings.xml><?xml version="1.0" encoding="utf-8"?>
<sst xmlns="http://schemas.openxmlformats.org/spreadsheetml/2006/main" count="914" uniqueCount="251">
  <si>
    <t>Occupation</t>
  </si>
  <si>
    <t>Sales Executive</t>
  </si>
  <si>
    <t>Masseur</t>
  </si>
  <si>
    <t>Heavy Truck Driver</t>
  </si>
  <si>
    <t>Driver Light Vehicles</t>
  </si>
  <si>
    <t>Officer Incharge (Security)</t>
  </si>
  <si>
    <t>Senior Security Officer</t>
  </si>
  <si>
    <t>Graphic Designer</t>
  </si>
  <si>
    <t>Building Painter</t>
  </si>
  <si>
    <t>Welder</t>
  </si>
  <si>
    <t>Baker</t>
  </si>
  <si>
    <t>Mason (General)</t>
  </si>
  <si>
    <t>Carpenter</t>
  </si>
  <si>
    <t>Job Provider</t>
  </si>
  <si>
    <t>Government</t>
  </si>
  <si>
    <t>Semi Government</t>
  </si>
  <si>
    <t>Private</t>
  </si>
  <si>
    <t>NGO</t>
  </si>
  <si>
    <t>Total</t>
  </si>
  <si>
    <t>Classification / Sector</t>
  </si>
  <si>
    <t>Formal</t>
  </si>
  <si>
    <t>Informal</t>
  </si>
  <si>
    <t>Gender</t>
  </si>
  <si>
    <t>Male</t>
  </si>
  <si>
    <t>Female</t>
  </si>
  <si>
    <t>Not Specified</t>
  </si>
  <si>
    <t>Experience Requirement</t>
  </si>
  <si>
    <t>Experience Required</t>
  </si>
  <si>
    <t>Educational Requirement</t>
  </si>
  <si>
    <t>Degree &amp; Above</t>
  </si>
  <si>
    <t>GCE A/L</t>
  </si>
  <si>
    <t>GCE O/L</t>
  </si>
  <si>
    <t>Below GCE O/L</t>
  </si>
  <si>
    <t>No.</t>
  </si>
  <si>
    <t>Main Occupational Category</t>
  </si>
  <si>
    <t>Gender (%)</t>
  </si>
  <si>
    <t>%</t>
  </si>
  <si>
    <t xml:space="preserve"> Service Workers &amp; Shop &amp; Market Sales Workers</t>
  </si>
  <si>
    <t xml:space="preserve"> Craft &amp; Related Workers</t>
  </si>
  <si>
    <t xml:space="preserve"> Elementary Occupations</t>
  </si>
  <si>
    <t xml:space="preserve"> Plant and Machine Operators and Assemblers</t>
  </si>
  <si>
    <t xml:space="preserve"> Technicians &amp; Associate professionals</t>
  </si>
  <si>
    <t xml:space="preserve"> Clerks</t>
  </si>
  <si>
    <t xml:space="preserve"> Professionals</t>
  </si>
  <si>
    <t xml:space="preserve"> Legislators, Senior Officials And Managers</t>
  </si>
  <si>
    <t xml:space="preserve"> Skilled Agricultural &amp; Fishery Workers</t>
  </si>
  <si>
    <t>Armed Forces</t>
  </si>
  <si>
    <t>Increase</t>
  </si>
  <si>
    <t>Pattern</t>
  </si>
  <si>
    <t>Classification (%)</t>
  </si>
  <si>
    <t>Classification</t>
  </si>
  <si>
    <t>Gendar (%)</t>
  </si>
  <si>
    <t>Industry Sector</t>
  </si>
  <si>
    <t>Advertisement Classification</t>
  </si>
  <si>
    <t>Manufacturing</t>
  </si>
  <si>
    <t>Education</t>
  </si>
  <si>
    <t>Educational Attainment</t>
  </si>
  <si>
    <t>Computer Operator</t>
  </si>
  <si>
    <t>Security Officer</t>
  </si>
  <si>
    <t>Cashier</t>
  </si>
  <si>
    <t>Supervisor (General)</t>
  </si>
  <si>
    <t>Sales Assistant</t>
  </si>
  <si>
    <t>Cook</t>
  </si>
  <si>
    <t>House Maid</t>
  </si>
  <si>
    <t>Waiter</t>
  </si>
  <si>
    <t>Sales Representative</t>
  </si>
  <si>
    <t>Professionals</t>
  </si>
  <si>
    <t>Nurse</t>
  </si>
  <si>
    <t>Accountant</t>
  </si>
  <si>
    <t>Job / Occupation</t>
  </si>
  <si>
    <t>Rank</t>
  </si>
  <si>
    <t>Pharmacist</t>
  </si>
  <si>
    <t>Hopper Maker</t>
  </si>
  <si>
    <t>Construction</t>
  </si>
  <si>
    <t>Helper, General</t>
  </si>
  <si>
    <t>Kotthu Maker</t>
  </si>
  <si>
    <t>Kitchen Helper</t>
  </si>
  <si>
    <t>Occupational Therapist</t>
  </si>
  <si>
    <t>Sales Manager</t>
  </si>
  <si>
    <t>Marketing Manager</t>
  </si>
  <si>
    <t>Hotel Manager (Providing Meals and Rooms)</t>
  </si>
  <si>
    <t>Restaurant Manager</t>
  </si>
  <si>
    <t>Montessori Teacher</t>
  </si>
  <si>
    <t>University Lecturer</t>
  </si>
  <si>
    <t>Juki Machine Operator</t>
  </si>
  <si>
    <t>Three Wheeler Driver</t>
  </si>
  <si>
    <t>Room Boy</t>
  </si>
  <si>
    <t>Sewing Machine Operator</t>
  </si>
  <si>
    <t>Building Construction Helper</t>
  </si>
  <si>
    <t>General Manager</t>
  </si>
  <si>
    <t>Marketing Officer</t>
  </si>
  <si>
    <t>Electrician</t>
  </si>
  <si>
    <t>Char (Domestic Woman)</t>
  </si>
  <si>
    <t>Chauffeur</t>
  </si>
  <si>
    <t>Estate Labourer</t>
  </si>
  <si>
    <t>Marketing Executive</t>
  </si>
  <si>
    <t>Steward (Hotels and Restaurants)</t>
  </si>
  <si>
    <t>Motor Vehicle Mechanic</t>
  </si>
  <si>
    <t>Civil Engineer</t>
  </si>
  <si>
    <t>Manager (Establishment)</t>
  </si>
  <si>
    <t>Recovery Officer</t>
  </si>
  <si>
    <t>Office Clerk</t>
  </si>
  <si>
    <t>Concrete Shutterer</t>
  </si>
  <si>
    <t>Bar Bender and Binder</t>
  </si>
  <si>
    <t>Lorry Driver</t>
  </si>
  <si>
    <t>Manufacturing Industry Helper</t>
  </si>
  <si>
    <t>Driver other light Motor Vehicles</t>
  </si>
  <si>
    <t>Shop Manager (Retail / Wholesale)</t>
  </si>
  <si>
    <t>Painter (Vehicle)</t>
  </si>
  <si>
    <t>Car Driver</t>
  </si>
  <si>
    <t>Chef</t>
  </si>
  <si>
    <t>Floor Tile Setter</t>
  </si>
  <si>
    <t>Tinker</t>
  </si>
  <si>
    <t>Case Summaries</t>
  </si>
  <si>
    <t>N</t>
  </si>
  <si>
    <t>NoOfVacancy</t>
  </si>
  <si>
    <t>JobTypeId</t>
  </si>
  <si>
    <t>GenderId</t>
  </si>
  <si>
    <t>newexperience</t>
  </si>
  <si>
    <t>Required</t>
  </si>
  <si>
    <t>neweducationQ</t>
  </si>
  <si>
    <t/>
  </si>
  <si>
    <t>Count</t>
  </si>
  <si>
    <t>Subtotal</t>
  </si>
  <si>
    <t>Row N %</t>
  </si>
  <si>
    <t>neweducation</t>
  </si>
  <si>
    <t>Hotel Manager  (Not Providing Rooms)</t>
  </si>
  <si>
    <t>Technician - Maintenance</t>
  </si>
  <si>
    <t>Legislators, Senior Officials And Managers</t>
  </si>
  <si>
    <t>Technicians &amp; Associate professionals</t>
  </si>
  <si>
    <t>Clerks</t>
  </si>
  <si>
    <t>Service Workers &amp; Shop &amp; Market Sales Workers</t>
  </si>
  <si>
    <t>Skilled Agricultural &amp; Fishery Workers</t>
  </si>
  <si>
    <t>Craft &amp; Related Workers</t>
  </si>
  <si>
    <t>Plant and Machine Operators and Assemblers</t>
  </si>
  <si>
    <t>Elementary Occupations</t>
  </si>
  <si>
    <t>SerialNumber</t>
  </si>
  <si>
    <t>Agriculture, Forestry and Fishing</t>
  </si>
  <si>
    <t>Mining and Quarrying</t>
  </si>
  <si>
    <t>Electricity, Gas,Steam and Air Conditioning Supply</t>
  </si>
  <si>
    <t>Water Supply; Sewerage, Saste Sanagement and Remediation Activities</t>
  </si>
  <si>
    <t>Wholesale and Retail Trade; Repair of Motor Vehicles and Motorcycles</t>
  </si>
  <si>
    <t>Transportation and Storage</t>
  </si>
  <si>
    <t>Accommodation and Food Service Activities</t>
  </si>
  <si>
    <t>Information and Communication</t>
  </si>
  <si>
    <t>Financial and Insurance Activities</t>
  </si>
  <si>
    <t>Real Estate Activities</t>
  </si>
  <si>
    <t>Professional, Scientific and Technical Activities</t>
  </si>
  <si>
    <t>Administrative and Support Service Activities</t>
  </si>
  <si>
    <t>Public administration and Defence; Compulsory Social Security</t>
  </si>
  <si>
    <t>Human Health and Social Work Activities</t>
  </si>
  <si>
    <t>Arts, Entertainment and Recreation</t>
  </si>
  <si>
    <t>Other Service Activities</t>
  </si>
  <si>
    <t>Activities of Households as Employers</t>
  </si>
  <si>
    <t>Activities of Extraterritorial Organizations and Bodies</t>
  </si>
  <si>
    <t>Table 4.1: Distribution of No. of Job Advertisements by Job Provider</t>
  </si>
  <si>
    <t>Table 4.2: No. of Job advertisements by Formal/Informal Classification</t>
  </si>
  <si>
    <t>Table 4.3: No. of Job Advertisements by Gender</t>
  </si>
  <si>
    <t>Table 4.4: No. of Job Advertisements by Experience Requirement</t>
  </si>
  <si>
    <t>Table 4.5: No. of Job Advertisements by Educational Attainment</t>
  </si>
  <si>
    <t>Semi Goverment</t>
  </si>
  <si>
    <t>Mainoccupation</t>
  </si>
  <si>
    <t>Manager, Business Services and Administration NEC</t>
  </si>
  <si>
    <t>Attendant Home for the Elders/ Disables / Children</t>
  </si>
  <si>
    <t>Nursing Aid</t>
  </si>
  <si>
    <t>Building Construction Labourer</t>
  </si>
  <si>
    <t>Director (Statutory Institutions / Private Company)</t>
  </si>
  <si>
    <t>Human Resources Manager</t>
  </si>
  <si>
    <t>Manager, Security Services</t>
  </si>
  <si>
    <t>Project Manager</t>
  </si>
  <si>
    <t>Manager, Professional Services NEC</t>
  </si>
  <si>
    <t>Quantity Surveyor</t>
  </si>
  <si>
    <t>Assistant Accountants</t>
  </si>
  <si>
    <t>Production Assistant</t>
  </si>
  <si>
    <t>Trade Assistant</t>
  </si>
  <si>
    <t>Cement Block Maker</t>
  </si>
  <si>
    <t>Domestic Servant</t>
  </si>
  <si>
    <t>House Boy</t>
  </si>
  <si>
    <t>Day Care Helper</t>
  </si>
  <si>
    <t>Hospital Cleaner</t>
  </si>
  <si>
    <t>Karyala Karya Sahayaka</t>
  </si>
  <si>
    <t>Other Hand Cleaners NEC</t>
  </si>
  <si>
    <t>Helper (Manufacturing)</t>
  </si>
  <si>
    <t>new</t>
  </si>
  <si>
    <t>experience required</t>
  </si>
  <si>
    <t>experience not required</t>
  </si>
  <si>
    <t>JobId</t>
  </si>
  <si>
    <t>Main Occupational Category (%)</t>
  </si>
  <si>
    <t>mainoccupation</t>
  </si>
  <si>
    <t>newemp1</t>
  </si>
  <si>
    <t>SurveyDataId</t>
  </si>
  <si>
    <t>newqulification</t>
  </si>
  <si>
    <t>IndustrySectorId</t>
  </si>
  <si>
    <t>Fig  4.18.1: Legislators, Senior Officials and Managers</t>
  </si>
  <si>
    <t>Fig 4.18.2: Professionals</t>
  </si>
  <si>
    <t>Fig 4.18.3: Technicians and Associate Professionals</t>
  </si>
  <si>
    <t>Fig 4.18.4: Plant and Machne Operators and Assemblers</t>
  </si>
  <si>
    <t>Fig 4.18.5: Service Workers and Shop and Market Sales Workers</t>
  </si>
  <si>
    <t>Fig 4.18.6: Craft and Related Workers</t>
  </si>
  <si>
    <t>4.19  Ranking of Local Jobs as per Job Demand in 2024  (Selected Industrial Sectors)</t>
  </si>
  <si>
    <t>Fig 4.19.1: Accommodation and Food Service Activities</t>
  </si>
  <si>
    <t>Fig 4.19.2: Manufacturing of Waring Apparels</t>
  </si>
  <si>
    <t>Fig 4.19.3: Construction</t>
  </si>
  <si>
    <t>Fig 4.19.4: Wholesale and Retail Trade and Repair of Motor Vehicles and Motorcycles</t>
  </si>
  <si>
    <t>Fig 4.19.5: Human Health and Social Activities</t>
  </si>
  <si>
    <t>Fig 4.19.6: Education</t>
  </si>
  <si>
    <t>newemploy</t>
  </si>
  <si>
    <t>semi-goverment</t>
  </si>
  <si>
    <t>Graph 4.1: Percentage Distribution of Job Advertisement by Job Provider in 2025</t>
  </si>
  <si>
    <t>formal</t>
  </si>
  <si>
    <t>informal</t>
  </si>
  <si>
    <t>Graph 4.2: Percentage Distribution of Job Advertisements by Formal/Informal Classification in  2025</t>
  </si>
  <si>
    <t>Graph 4.3: Percentage Distribution of Job Advertisements by Gender in 2025</t>
  </si>
  <si>
    <t>Experience required</t>
  </si>
  <si>
    <t>Expreince not required</t>
  </si>
  <si>
    <t>Graph 4.4: Percentage Distribution of Job Advertisements by Experience Requirement in 2025</t>
  </si>
  <si>
    <t>newschoolqua</t>
  </si>
  <si>
    <t>Below O/L</t>
  </si>
  <si>
    <t>Pass O/L</t>
  </si>
  <si>
    <t>Pass A/L</t>
  </si>
  <si>
    <t>Degree or Above</t>
  </si>
  <si>
    <t>Graph 4.5: Percentage Distribution of Job Advertisements by Educational Attainment in 2025</t>
  </si>
  <si>
    <t>Majoroccupation</t>
  </si>
  <si>
    <t>Table 4.6: Percentage Distribution of Job Advertisements by Main Occupational Category (Based on SLSCO 08) and Gender in 2025</t>
  </si>
  <si>
    <t>Graph 4.6: Percentage Distribution of Job Advertisements by Main Occupational Category in 2025</t>
  </si>
  <si>
    <t>Table 4.7: Variation Patteren of Job Advertisements by Main Occupational Category in 2025</t>
  </si>
  <si>
    <t>Table 4.8: Percentage Disribution of Job Advertisements by Main Occupational Category and Formal/Informal Classification in 2025</t>
  </si>
  <si>
    <t>Table 4.9: Percentage Distribution of Job Advertisements by Formal/Informal Classification and Gender in 2025</t>
  </si>
  <si>
    <t>Graph 4.7: Percentage Distribution of Job Advertisements by Advertisement Classification and Gender in 2025</t>
  </si>
  <si>
    <t>Table 4.10: Percentage Distribution of Job Advertisements by Industry Sector (Based on SLSIC Fourth Revision) and Formal/Informal Classification in 2025</t>
  </si>
  <si>
    <t>Industry sector01</t>
  </si>
  <si>
    <t>Graph 4.8: Percentage Distribution of Job Advertisements in Selected Industries by Advertisement Classification in  2025</t>
  </si>
  <si>
    <t>Table 4.11: Percentage Distribution of Job Advertisements by Experience Requirement and Gender in  2025</t>
  </si>
  <si>
    <t>Graph 4.9: Percentage Distribution of Job Advertisements Requiring Experience by Gender in  2025</t>
  </si>
  <si>
    <t>Table 4.12: Distribution of Job Advertisements Requiring Experience by Educational Attainment in  2025</t>
  </si>
  <si>
    <t>Graph 4.10: Percentage Distribution of Job Advertisements Requiring Experience by Educational Attainment in 2025</t>
  </si>
  <si>
    <t>Table 4.13: Percentage Distribution of Job advertisements by Main Occupational Category and Experience Requirement in 2025</t>
  </si>
  <si>
    <t>Table 4.14: Percentage Distribution of Job Advertisements by Selected Major Industrial Group and Main Occupational Category in 2025</t>
  </si>
  <si>
    <t>Graph 4.11: Percentage Distribution of Job Advertisements by Occupational Category for the Accommodation and Food Service ActivitiesSector in  2025</t>
  </si>
  <si>
    <t>Graph 4.12: Percentage Distribution of Job Advertisements by Occupational Category for the  Other Services Activity Sector in  2025</t>
  </si>
  <si>
    <t>Graph 4.13: Percentage Distribution of Job Advertisements by Occupational Category for the Manufacturing Sector in 2025</t>
  </si>
  <si>
    <t>Table 4.15: High Demand Jobs in Formal Advertisements by Gender in   2025</t>
  </si>
  <si>
    <t>Table 4.16: High Demand Jobs in Informal Advertisements by Gender in  2025</t>
  </si>
  <si>
    <t>Table 4.17: High Demand Jobs by Gender in  2025</t>
  </si>
  <si>
    <t>4.18 Ranking of Local Jobs as per Job Demand in  2025 (Selected Main Occupational Categories)</t>
  </si>
  <si>
    <t>4.17.1 - Legislators, Senior Officials and Managers</t>
  </si>
  <si>
    <t>4.17.2 -Professionals</t>
  </si>
  <si>
    <t>4.17.3- Technicians and Associate Professionals</t>
  </si>
  <si>
    <t>4.17.4- Plant and Machne Operators and Assemblers</t>
  </si>
  <si>
    <t>4.17.5- Service Workers and Shop and Market Sales Workers</t>
  </si>
  <si>
    <t>4.17.6- Craft and Related Workers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</si>
</sst>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41" formatCode="_(* #,##0_);_(* \(#,##0\);_(* &quot;-&quot;_);_(@_)"/>
    <numFmt numFmtId="43" formatCode="_(* #,##0.00_);_(* \(#,##0.00\);_(* &quot;-&quot;??_);_(@_)"/>
    <numFmt numFmtId="164" formatCode="###0"/>
    <numFmt numFmtId="165" formatCode="_(* #,##0_);_(* \(#,##0\);_(* &quot;-&quot;??_);_(@_)"/>
    <numFmt numFmtId="166" formatCode="0.0%"/>
    <numFmt numFmtId="167" formatCode="###0.0"/>
    <numFmt numFmtId="168" formatCode="0.0"/>
    <numFmt numFmtId="170" formatCode="###0.0%"/>
  </numFmts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indexed="8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indexed="8"/>
      <name val="Arial"/>
      <family val="2"/>
    </font>
    <font>
      <sz val="9"/>
      <color indexed="8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9"/>
      <color indexed="8"/>
      <name val="Arial Bold"/>
    </font>
    <font>
      <sz val="10"/>
      <name val="Arial"/>
      <family val="2"/>
    </font>
    <font>
      <sz val="9"/>
      <color indexed="8"/>
      <name val="Arial"/>
      <family val="2"/>
    </font>
    <font>
      <b/>
      <sz val="11"/>
      <color indexed="60"/>
      <name val="Arial Bold"/>
    </font>
    <font>
      <sz val="9"/>
      <color indexed="60"/>
      <name val="Arial"/>
      <family val="2"/>
    </font>
    <font>
      <sz val="9"/>
      <color indexed="62"/>
      <name val="Arial"/>
      <family val="2"/>
    </font>
    <font>
      <sz val="9"/>
      <color indexed="60"/>
      <name val="Arial"/>
      <family val="2"/>
    </font>
    <font>
      <sz val="9"/>
      <color indexed="62"/>
      <name val="Arial"/>
      <family val="2"/>
    </font>
    <font>
      <b/>
      <sz val="9"/>
      <color indexed="60"/>
      <name val="Arial"/>
      <family val="2"/>
    </font>
    <font>
      <sz val="10"/>
      <name val="Arial"/>
      <family val="2"/>
    </font>
    <font>
      <sz val="9"/>
      <color indexed="60"/>
      <name val="Arial"/>
      <family val="2"/>
    </font>
    <font>
      <sz val="9"/>
      <color indexed="62"/>
      <name val="Arial"/>
      <family val="2"/>
    </font>
    <font>
      <sz val="9"/>
      <color indexed="8"/>
      <name val="Arial"/>
      <family val="2"/>
    </font>
    <font>
      <b/>
      <sz val="9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theme="9" tint="0.39997558519241921"/>
        <bgColor indexed="64"/>
      </patternFill>
    </fill>
  </fills>
  <borders count="6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8"/>
      </left>
      <right style="thick">
        <color indexed="8"/>
      </right>
      <top style="thick">
        <color indexed="8"/>
      </top>
      <bottom style="thick">
        <color indexed="8"/>
      </bottom>
      <diagonal/>
    </border>
    <border>
      <left style="thick">
        <color indexed="8"/>
      </left>
      <right style="thick">
        <color indexed="8"/>
      </right>
      <top style="thick">
        <color indexed="8"/>
      </top>
      <bottom/>
      <diagonal/>
    </border>
    <border>
      <left style="thick">
        <color indexed="8"/>
      </left>
      <right style="thick">
        <color indexed="8"/>
      </right>
      <top/>
      <bottom/>
      <diagonal/>
    </border>
    <border>
      <left style="thick">
        <color indexed="8"/>
      </left>
      <right style="thick">
        <color indexed="8"/>
      </right>
      <top/>
      <bottom style="thick">
        <color indexed="8"/>
      </bottom>
      <diagonal/>
    </border>
    <border>
      <left style="thick">
        <color indexed="8"/>
      </left>
      <right/>
      <top style="thick">
        <color indexed="8"/>
      </top>
      <bottom/>
      <diagonal/>
    </border>
    <border>
      <left/>
      <right style="thick">
        <color indexed="8"/>
      </right>
      <top style="thick">
        <color indexed="8"/>
      </top>
      <bottom/>
      <diagonal/>
    </border>
    <border>
      <left style="thick">
        <color indexed="8"/>
      </left>
      <right style="thin">
        <color indexed="8"/>
      </right>
      <top style="thick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ck">
        <color indexed="8"/>
      </top>
      <bottom style="thin">
        <color indexed="8"/>
      </bottom>
      <diagonal/>
    </border>
    <border>
      <left style="thin">
        <color indexed="8"/>
      </left>
      <right style="thick">
        <color indexed="8"/>
      </right>
      <top style="thick">
        <color indexed="8"/>
      </top>
      <bottom style="thin">
        <color indexed="8"/>
      </bottom>
      <diagonal/>
    </border>
    <border>
      <left style="thick">
        <color indexed="8"/>
      </left>
      <right/>
      <top/>
      <bottom/>
      <diagonal/>
    </border>
    <border>
      <left/>
      <right style="thick">
        <color indexed="8"/>
      </right>
      <top/>
      <bottom/>
      <diagonal/>
    </border>
    <border>
      <left style="thick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ck">
        <color indexed="8"/>
      </right>
      <top style="thin">
        <color indexed="8"/>
      </top>
      <bottom style="thin">
        <color indexed="8"/>
      </bottom>
      <diagonal/>
    </border>
    <border>
      <left style="thick">
        <color indexed="8"/>
      </left>
      <right/>
      <top/>
      <bottom style="thick">
        <color indexed="8"/>
      </bottom>
      <diagonal/>
    </border>
    <border>
      <left/>
      <right style="thick">
        <color indexed="8"/>
      </right>
      <top/>
      <bottom style="thick">
        <color indexed="8"/>
      </bottom>
      <diagonal/>
    </border>
    <border>
      <left style="thick">
        <color indexed="8"/>
      </left>
      <right style="thin">
        <color indexed="8"/>
      </right>
      <top style="thin">
        <color indexed="8"/>
      </top>
      <bottom style="thick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ck">
        <color indexed="8"/>
      </bottom>
      <diagonal/>
    </border>
    <border>
      <left style="thin">
        <color indexed="8"/>
      </left>
      <right style="thick">
        <color indexed="8"/>
      </right>
      <top style="thin">
        <color indexed="8"/>
      </top>
      <bottom style="thick">
        <color indexed="8"/>
      </bottom>
      <diagonal/>
    </border>
    <border>
      <left style="thick">
        <color indexed="8"/>
      </left>
      <right style="thin">
        <color indexed="8"/>
      </right>
      <top style="thick">
        <color indexed="8"/>
      </top>
      <bottom/>
      <diagonal/>
    </border>
    <border>
      <left style="thin">
        <color indexed="8"/>
      </left>
      <right style="thin">
        <color indexed="8"/>
      </right>
      <top style="thick">
        <color indexed="8"/>
      </top>
      <bottom/>
      <diagonal/>
    </border>
    <border>
      <left style="thin">
        <color indexed="8"/>
      </left>
      <right style="thick">
        <color indexed="8"/>
      </right>
      <top style="thick">
        <color indexed="8"/>
      </top>
      <bottom/>
      <diagonal/>
    </border>
    <border>
      <left style="thick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ck">
        <color indexed="8"/>
      </right>
      <top/>
      <bottom/>
      <diagonal/>
    </border>
    <border>
      <left style="thick">
        <color indexed="8"/>
      </left>
      <right style="thin">
        <color indexed="8"/>
      </right>
      <top/>
      <bottom style="thick">
        <color indexed="8"/>
      </bottom>
      <diagonal/>
    </border>
    <border>
      <left style="thin">
        <color indexed="8"/>
      </left>
      <right style="thin">
        <color indexed="8"/>
      </right>
      <top/>
      <bottom style="thick">
        <color indexed="8"/>
      </bottom>
      <diagonal/>
    </border>
    <border>
      <left style="thin">
        <color indexed="8"/>
      </left>
      <right style="thick">
        <color indexed="8"/>
      </right>
      <top/>
      <bottom style="thick">
        <color indexed="8"/>
      </bottom>
      <diagonal/>
    </border>
    <border>
      <left/>
      <right/>
      <top/>
      <bottom style="thin">
        <color indexed="61"/>
      </bottom>
      <diagonal/>
    </border>
    <border>
      <left/>
      <right/>
      <top style="thin">
        <color indexed="61"/>
      </top>
      <bottom style="thin">
        <color indexed="22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/>
      <top style="thin">
        <color indexed="22"/>
      </top>
      <bottom style="thin">
        <color indexed="61"/>
      </bottom>
      <diagonal/>
    </border>
    <border>
      <left/>
      <right style="thin">
        <color indexed="62"/>
      </right>
      <top/>
      <bottom/>
      <diagonal/>
    </border>
    <border>
      <left style="thin">
        <color indexed="62"/>
      </left>
      <right/>
      <top/>
      <bottom/>
      <diagonal/>
    </border>
    <border>
      <left/>
      <right style="thin">
        <color indexed="62"/>
      </right>
      <top/>
      <bottom style="thin">
        <color indexed="61"/>
      </bottom>
      <diagonal/>
    </border>
    <border>
      <left style="thin">
        <color indexed="62"/>
      </left>
      <right/>
      <top/>
      <bottom style="thin">
        <color indexed="61"/>
      </bottom>
      <diagonal/>
    </border>
    <border>
      <left/>
      <right/>
      <top style="thin">
        <color indexed="61"/>
      </top>
      <bottom style="thin">
        <color indexed="63"/>
      </bottom>
      <diagonal/>
    </border>
    <border>
      <left/>
      <right style="thin">
        <color indexed="62"/>
      </right>
      <top style="thin">
        <color indexed="61"/>
      </top>
      <bottom style="thin">
        <color indexed="63"/>
      </bottom>
      <diagonal/>
    </border>
    <border>
      <left style="thin">
        <color indexed="62"/>
      </left>
      <right/>
      <top style="thin">
        <color indexed="61"/>
      </top>
      <bottom style="thin">
        <color indexed="63"/>
      </bottom>
      <diagonal/>
    </border>
    <border>
      <left/>
      <right/>
      <top style="thin">
        <color indexed="63"/>
      </top>
      <bottom style="thin">
        <color indexed="63"/>
      </bottom>
      <diagonal/>
    </border>
    <border>
      <left/>
      <right style="thin">
        <color indexed="62"/>
      </right>
      <top style="thin">
        <color indexed="63"/>
      </top>
      <bottom style="thin">
        <color indexed="63"/>
      </bottom>
      <diagonal/>
    </border>
    <border>
      <left style="thin">
        <color indexed="62"/>
      </left>
      <right/>
      <top style="thin">
        <color indexed="63"/>
      </top>
      <bottom style="thin">
        <color indexed="63"/>
      </bottom>
      <diagonal/>
    </border>
    <border>
      <left/>
      <right/>
      <top style="thin">
        <color indexed="63"/>
      </top>
      <bottom style="thin">
        <color indexed="61"/>
      </bottom>
      <diagonal/>
    </border>
    <border>
      <left/>
      <right style="thin">
        <color indexed="62"/>
      </right>
      <top style="thin">
        <color indexed="63"/>
      </top>
      <bottom style="thin">
        <color indexed="61"/>
      </bottom>
      <diagonal/>
    </border>
    <border>
      <left style="thin">
        <color indexed="62"/>
      </left>
      <right/>
      <top style="thin">
        <color indexed="63"/>
      </top>
      <bottom style="thin">
        <color indexed="61"/>
      </bottom>
      <diagonal/>
    </border>
    <border>
      <left style="thin">
        <color indexed="62"/>
      </left>
      <right style="thin">
        <color indexed="62"/>
      </right>
      <top/>
      <bottom/>
      <diagonal/>
    </border>
    <border>
      <left style="thin">
        <color indexed="62"/>
      </left>
      <right style="thin">
        <color indexed="62"/>
      </right>
      <top/>
      <bottom style="thin">
        <color indexed="61"/>
      </bottom>
      <diagonal/>
    </border>
    <border>
      <left style="thin">
        <color indexed="62"/>
      </left>
      <right style="thin">
        <color indexed="62"/>
      </right>
      <top style="thin">
        <color indexed="61"/>
      </top>
      <bottom style="thin">
        <color indexed="63"/>
      </bottom>
      <diagonal/>
    </border>
    <border>
      <left style="thin">
        <color indexed="62"/>
      </left>
      <right style="thin">
        <color indexed="62"/>
      </right>
      <top style="thin">
        <color indexed="63"/>
      </top>
      <bottom style="thin">
        <color indexed="61"/>
      </bottom>
      <diagonal/>
    </border>
    <border>
      <left style="thin">
        <color indexed="62"/>
      </left>
      <right style="thin">
        <color indexed="62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3"/>
      </top>
      <bottom/>
      <diagonal/>
    </border>
    <border>
      <left style="thin">
        <color indexed="62"/>
      </left>
      <right/>
      <top style="thin">
        <color indexed="63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3">
    <xf numFmtId="0" fontId="0" fillId="0" borderId="0"/>
    <xf numFmtId="0" fontId="2" fillId="0" borderId="0"/>
    <xf numFmtId="0" fontId="2" fillId="0" borderId="0"/>
    <xf numFmtId="0" fontId="2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4" fillId="0" borderId="0"/>
    <xf numFmtId="0" fontId="4" fillId="0" borderId="0"/>
    <xf numFmtId="0" fontId="4" fillId="0" borderId="0"/>
    <xf numFmtId="0" fontId="13" fillId="0" borderId="0"/>
    <xf numFmtId="0" fontId="13" fillId="0" borderId="0"/>
    <xf numFmtId="0" fontId="21" fillId="0" borderId="0"/>
    <xf numFmtId="0" fontId="21" fillId="0" borderId="0"/>
    <xf numFmtId="0" fontId="2" fillId="0" borderId="0"/>
    <xf numFmtId="0" fontId="21" fillId="0" borderId="0"/>
    <xf numFmtId="0" fontId="21" fillId="0" borderId="0"/>
  </cellStyleXfs>
  <cellXfs count="402">
    <xf numFmtId="0" fontId="0" fillId="0" borderId="0" xfId="0"/>
    <xf numFmtId="0" fontId="1" fillId="0" borderId="0" xfId="0" applyFont="1" applyAlignment="1">
      <alignment vertical="center"/>
    </xf>
    <xf numFmtId="0" fontId="6" fillId="0" borderId="2" xfId="1" applyFont="1" applyBorder="1" applyAlignment="1">
      <alignment horizontal="left" vertical="center" wrapText="1"/>
    </xf>
    <xf numFmtId="165" fontId="6" fillId="0" borderId="2" xfId="4" applyNumberFormat="1" applyFont="1" applyBorder="1" applyAlignment="1">
      <alignment horizontal="right" vertical="center"/>
    </xf>
    <xf numFmtId="166" fontId="0" fillId="0" borderId="0" xfId="5" applyNumberFormat="1" applyFont="1"/>
    <xf numFmtId="0" fontId="5" fillId="0" borderId="2" xfId="1" applyFont="1" applyBorder="1" applyAlignment="1">
      <alignment horizontal="left" vertical="center" wrapText="1"/>
    </xf>
    <xf numFmtId="165" fontId="5" fillId="0" borderId="2" xfId="4" applyNumberFormat="1" applyFont="1" applyBorder="1" applyAlignment="1">
      <alignment horizontal="right" vertical="center"/>
    </xf>
    <xf numFmtId="0" fontId="6" fillId="0" borderId="2" xfId="2" applyFont="1" applyBorder="1" applyAlignment="1">
      <alignment horizontal="left" vertical="center" wrapText="1"/>
    </xf>
    <xf numFmtId="0" fontId="5" fillId="0" borderId="2" xfId="2" applyFont="1" applyBorder="1" applyAlignment="1">
      <alignment horizontal="left" vertical="center" wrapText="1"/>
    </xf>
    <xf numFmtId="0" fontId="5" fillId="0" borderId="0" xfId="2" applyFont="1" applyBorder="1" applyAlignment="1">
      <alignment horizontal="left" vertical="center" wrapText="1"/>
    </xf>
    <xf numFmtId="9" fontId="0" fillId="0" borderId="0" xfId="5" applyFont="1"/>
    <xf numFmtId="0" fontId="3" fillId="0" borderId="0" xfId="2" applyFont="1" applyBorder="1" applyAlignment="1">
      <alignment horizontal="left" vertical="center"/>
    </xf>
    <xf numFmtId="168" fontId="0" fillId="0" borderId="0" xfId="0" applyNumberFormat="1"/>
    <xf numFmtId="0" fontId="1" fillId="0" borderId="0" xfId="0" applyFont="1" applyFill="1" applyAlignment="1">
      <alignment vertical="center"/>
    </xf>
    <xf numFmtId="0" fontId="0" fillId="0" borderId="0" xfId="0" applyFill="1"/>
    <xf numFmtId="0" fontId="1" fillId="0" borderId="0" xfId="0" applyFont="1"/>
    <xf numFmtId="0" fontId="0" fillId="0" borderId="0" xfId="0" applyAlignment="1">
      <alignment vertical="center"/>
    </xf>
    <xf numFmtId="0" fontId="7" fillId="0" borderId="5" xfId="0" applyFont="1" applyBorder="1" applyAlignment="1">
      <alignment horizontal="center" vertical="center"/>
    </xf>
    <xf numFmtId="10" fontId="0" fillId="0" borderId="0" xfId="0" applyNumberFormat="1"/>
    <xf numFmtId="0" fontId="7" fillId="0" borderId="5" xfId="0" applyFont="1" applyBorder="1" applyAlignment="1">
      <alignment horizontal="center"/>
    </xf>
    <xf numFmtId="165" fontId="7" fillId="0" borderId="4" xfId="4" applyNumberFormat="1" applyFont="1" applyBorder="1" applyAlignment="1">
      <alignment vertical="center"/>
    </xf>
    <xf numFmtId="165" fontId="8" fillId="0" borderId="4" xfId="4" applyNumberFormat="1" applyFont="1" applyBorder="1" applyAlignment="1">
      <alignment vertical="center"/>
    </xf>
    <xf numFmtId="0" fontId="0" fillId="0" borderId="0" xfId="0" applyAlignment="1">
      <alignment horizontal="center" vertical="center"/>
    </xf>
    <xf numFmtId="165" fontId="9" fillId="0" borderId="2" xfId="4" applyNumberFormat="1" applyFont="1" applyBorder="1" applyAlignment="1">
      <alignment horizontal="right" vertical="center"/>
    </xf>
    <xf numFmtId="10" fontId="0" fillId="0" borderId="0" xfId="5" applyNumberFormat="1" applyFont="1"/>
    <xf numFmtId="0" fontId="0" fillId="0" borderId="0" xfId="0" applyNumberFormat="1"/>
    <xf numFmtId="165" fontId="10" fillId="0" borderId="2" xfId="4" applyNumberFormat="1" applyFont="1" applyBorder="1" applyAlignment="1">
      <alignment horizontal="right" vertical="center"/>
    </xf>
    <xf numFmtId="0" fontId="7" fillId="0" borderId="4" xfId="0" applyFont="1" applyFill="1" applyBorder="1" applyAlignment="1">
      <alignment horizontal="center" vertical="center"/>
    </xf>
    <xf numFmtId="167" fontId="9" fillId="0" borderId="0" xfId="6" applyNumberFormat="1" applyFont="1" applyFill="1" applyBorder="1" applyAlignment="1">
      <alignment horizontal="right" vertical="center"/>
    </xf>
    <xf numFmtId="0" fontId="9" fillId="0" borderId="2" xfId="2" applyFont="1" applyFill="1" applyBorder="1" applyAlignment="1">
      <alignment horizontal="left" vertical="center" wrapText="1"/>
    </xf>
    <xf numFmtId="0" fontId="5" fillId="2" borderId="2" xfId="3" applyFont="1" applyFill="1" applyBorder="1" applyAlignment="1">
      <alignment horizontal="center" vertical="center" wrapText="1"/>
    </xf>
    <xf numFmtId="0" fontId="0" fillId="0" borderId="2" xfId="0" applyBorder="1" applyAlignment="1">
      <alignment vertical="center"/>
    </xf>
    <xf numFmtId="0" fontId="1" fillId="2" borderId="2" xfId="0" applyFont="1" applyFill="1" applyBorder="1" applyAlignment="1">
      <alignment horizontal="center" vertical="center"/>
    </xf>
    <xf numFmtId="0" fontId="5" fillId="2" borderId="3" xfId="6" applyFont="1" applyFill="1" applyBorder="1" applyAlignment="1">
      <alignment horizontal="center" vertical="center" wrapText="1"/>
    </xf>
    <xf numFmtId="0" fontId="5" fillId="2" borderId="3" xfId="2" applyFont="1" applyFill="1" applyBorder="1" applyAlignment="1">
      <alignment horizontal="center" vertical="center" wrapText="1"/>
    </xf>
    <xf numFmtId="0" fontId="5" fillId="3" borderId="2" xfId="1" applyFont="1" applyFill="1" applyBorder="1" applyAlignment="1">
      <alignment horizontal="center" vertical="center" wrapText="1"/>
    </xf>
    <xf numFmtId="0" fontId="1" fillId="3" borderId="3" xfId="4" applyNumberFormat="1" applyFont="1" applyFill="1" applyBorder="1" applyAlignment="1">
      <alignment horizontal="center" vertical="center" wrapText="1"/>
    </xf>
    <xf numFmtId="0" fontId="1" fillId="3" borderId="2" xfId="4" applyNumberFormat="1" applyFont="1" applyFill="1" applyBorder="1" applyAlignment="1">
      <alignment horizontal="center" vertical="center" wrapText="1"/>
    </xf>
    <xf numFmtId="0" fontId="2" fillId="0" borderId="0" xfId="1"/>
    <xf numFmtId="0" fontId="6" fillId="4" borderId="0" xfId="1" applyFont="1" applyFill="1"/>
    <xf numFmtId="0" fontId="6" fillId="0" borderId="6" xfId="1" applyFont="1" applyBorder="1" applyAlignment="1">
      <alignment horizontal="center" wrapText="1"/>
    </xf>
    <xf numFmtId="0" fontId="6" fillId="0" borderId="7" xfId="1" applyFont="1" applyBorder="1" applyAlignment="1">
      <alignment horizontal="left" vertical="top" wrapText="1"/>
    </xf>
    <xf numFmtId="164" fontId="6" fillId="0" borderId="7" xfId="1" applyNumberFormat="1" applyFont="1" applyBorder="1" applyAlignment="1">
      <alignment horizontal="right" vertical="center"/>
    </xf>
    <xf numFmtId="0" fontId="6" fillId="0" borderId="8" xfId="1" applyFont="1" applyBorder="1" applyAlignment="1">
      <alignment horizontal="left" vertical="top" wrapText="1"/>
    </xf>
    <xf numFmtId="164" fontId="6" fillId="0" borderId="8" xfId="1" applyNumberFormat="1" applyFont="1" applyBorder="1" applyAlignment="1">
      <alignment horizontal="right" vertical="center"/>
    </xf>
    <xf numFmtId="0" fontId="6" fillId="0" borderId="9" xfId="1" applyFont="1" applyBorder="1" applyAlignment="1">
      <alignment horizontal="left" vertical="top" wrapText="1"/>
    </xf>
    <xf numFmtId="164" fontId="6" fillId="0" borderId="9" xfId="1" applyNumberFormat="1" applyFont="1" applyBorder="1" applyAlignment="1">
      <alignment horizontal="right" vertical="center"/>
    </xf>
    <xf numFmtId="0" fontId="5" fillId="5" borderId="2" xfId="2" applyFont="1" applyFill="1" applyBorder="1" applyAlignment="1">
      <alignment horizontal="center" vertical="center" wrapText="1"/>
    </xf>
    <xf numFmtId="0" fontId="1" fillId="5" borderId="3" xfId="4" applyNumberFormat="1" applyFont="1" applyFill="1" applyBorder="1" applyAlignment="1">
      <alignment horizontal="center" vertical="center" wrapText="1"/>
    </xf>
    <xf numFmtId="0" fontId="11" fillId="5" borderId="2" xfId="0" applyFont="1" applyFill="1" applyBorder="1" applyAlignment="1">
      <alignment horizontal="center" vertical="center" wrapText="1"/>
    </xf>
    <xf numFmtId="0" fontId="5" fillId="5" borderId="2" xfId="1" applyFont="1" applyFill="1" applyBorder="1" applyAlignment="1">
      <alignment horizontal="center" vertical="center" wrapText="1"/>
    </xf>
    <xf numFmtId="0" fontId="1" fillId="5" borderId="2" xfId="4" applyNumberFormat="1" applyFont="1" applyFill="1" applyBorder="1" applyAlignment="1">
      <alignment horizontal="center" vertical="center" wrapText="1"/>
    </xf>
    <xf numFmtId="165" fontId="9" fillId="0" borderId="4" xfId="4" applyNumberFormat="1" applyFont="1" applyBorder="1" applyAlignment="1">
      <alignment horizontal="right" vertical="center"/>
    </xf>
    <xf numFmtId="165" fontId="10" fillId="0" borderId="4" xfId="4" applyNumberFormat="1" applyFont="1" applyBorder="1" applyAlignment="1">
      <alignment horizontal="right" vertical="center"/>
    </xf>
    <xf numFmtId="0" fontId="5" fillId="5" borderId="2" xfId="2" applyFont="1" applyFill="1" applyBorder="1" applyAlignment="1">
      <alignment horizontal="center" vertical="center"/>
    </xf>
    <xf numFmtId="0" fontId="5" fillId="5" borderId="2" xfId="1" applyFont="1" applyFill="1" applyBorder="1" applyAlignment="1">
      <alignment horizontal="center" vertical="center"/>
    </xf>
    <xf numFmtId="0" fontId="1" fillId="5" borderId="3" xfId="4" applyNumberFormat="1" applyFont="1" applyFill="1" applyBorder="1" applyAlignment="1">
      <alignment horizontal="center" vertical="center"/>
    </xf>
    <xf numFmtId="0" fontId="1" fillId="5" borderId="2" xfId="4" applyNumberFormat="1" applyFont="1" applyFill="1" applyBorder="1" applyAlignment="1">
      <alignment horizontal="center" vertical="center"/>
    </xf>
    <xf numFmtId="164" fontId="0" fillId="0" borderId="0" xfId="0" applyNumberFormat="1"/>
    <xf numFmtId="0" fontId="0" fillId="0" borderId="0" xfId="0" applyBorder="1"/>
    <xf numFmtId="0" fontId="2" fillId="0" borderId="0" xfId="2"/>
    <xf numFmtId="0" fontId="13" fillId="0" borderId="0" xfId="9"/>
    <xf numFmtId="0" fontId="14" fillId="0" borderId="2" xfId="9" applyFont="1" applyBorder="1" applyAlignment="1">
      <alignment horizontal="left" vertical="top" wrapText="1"/>
    </xf>
    <xf numFmtId="164" fontId="0" fillId="0" borderId="2" xfId="0" applyNumberFormat="1" applyBorder="1"/>
    <xf numFmtId="0" fontId="0" fillId="0" borderId="2" xfId="0" applyBorder="1"/>
    <xf numFmtId="166" fontId="0" fillId="0" borderId="2" xfId="0" applyNumberFormat="1" applyBorder="1"/>
    <xf numFmtId="0" fontId="6" fillId="0" borderId="4" xfId="6" applyFont="1" applyBorder="1" applyAlignment="1">
      <alignment horizontal="left" vertical="center" wrapText="1"/>
    </xf>
    <xf numFmtId="0" fontId="5" fillId="0" borderId="4" xfId="6" applyFont="1" applyBorder="1" applyAlignment="1">
      <alignment vertical="center" wrapText="1"/>
    </xf>
    <xf numFmtId="164" fontId="6" fillId="0" borderId="0" xfId="2" applyNumberFormat="1" applyFont="1" applyBorder="1" applyAlignment="1">
      <alignment horizontal="right" vertical="center"/>
    </xf>
    <xf numFmtId="170" fontId="6" fillId="0" borderId="0" xfId="2" applyNumberFormat="1" applyFont="1" applyBorder="1" applyAlignment="1">
      <alignment horizontal="right" vertical="center"/>
    </xf>
    <xf numFmtId="164" fontId="2" fillId="0" borderId="0" xfId="2" applyNumberFormat="1" applyBorder="1"/>
    <xf numFmtId="10" fontId="2" fillId="0" borderId="0" xfId="2" applyNumberFormat="1" applyBorder="1"/>
    <xf numFmtId="0" fontId="6" fillId="0" borderId="22" xfId="1" applyFont="1" applyBorder="1" applyAlignment="1">
      <alignment horizontal="center" wrapText="1"/>
    </xf>
    <xf numFmtId="0" fontId="6" fillId="0" borderId="23" xfId="1" applyFont="1" applyBorder="1" applyAlignment="1">
      <alignment horizontal="center" wrapText="1"/>
    </xf>
    <xf numFmtId="0" fontId="6" fillId="0" borderId="24" xfId="1" applyFont="1" applyBorder="1" applyAlignment="1">
      <alignment horizontal="center" wrapText="1"/>
    </xf>
    <xf numFmtId="0" fontId="6" fillId="0" borderId="11" xfId="1" applyFont="1" applyBorder="1" applyAlignment="1">
      <alignment horizontal="left" vertical="top" wrapText="1"/>
    </xf>
    <xf numFmtId="164" fontId="6" fillId="0" borderId="25" xfId="1" applyNumberFormat="1" applyFont="1" applyBorder="1" applyAlignment="1">
      <alignment horizontal="right" vertical="center"/>
    </xf>
    <xf numFmtId="170" fontId="6" fillId="0" borderId="26" xfId="1" applyNumberFormat="1" applyFont="1" applyBorder="1" applyAlignment="1">
      <alignment horizontal="right" vertical="center"/>
    </xf>
    <xf numFmtId="164" fontId="6" fillId="0" borderId="26" xfId="1" applyNumberFormat="1" applyFont="1" applyBorder="1" applyAlignment="1">
      <alignment horizontal="right" vertical="center"/>
    </xf>
    <xf numFmtId="170" fontId="6" fillId="0" borderId="27" xfId="1" applyNumberFormat="1" applyFont="1" applyBorder="1" applyAlignment="1">
      <alignment horizontal="right" vertical="center"/>
    </xf>
    <xf numFmtId="0" fontId="6" fillId="0" borderId="16" xfId="1" applyFont="1" applyBorder="1" applyAlignment="1">
      <alignment horizontal="left" vertical="top" wrapText="1"/>
    </xf>
    <xf numFmtId="164" fontId="6" fillId="0" borderId="28" xfId="1" applyNumberFormat="1" applyFont="1" applyBorder="1" applyAlignment="1">
      <alignment horizontal="right" vertical="center"/>
    </xf>
    <xf numFmtId="170" fontId="6" fillId="0" borderId="29" xfId="1" applyNumberFormat="1" applyFont="1" applyBorder="1" applyAlignment="1">
      <alignment horizontal="right" vertical="center"/>
    </xf>
    <xf numFmtId="164" fontId="6" fillId="0" borderId="29" xfId="1" applyNumberFormat="1" applyFont="1" applyBorder="1" applyAlignment="1">
      <alignment horizontal="right" vertical="center"/>
    </xf>
    <xf numFmtId="170" fontId="6" fillId="0" borderId="30" xfId="1" applyNumberFormat="1" applyFont="1" applyBorder="1" applyAlignment="1">
      <alignment horizontal="right" vertical="center"/>
    </xf>
    <xf numFmtId="0" fontId="6" fillId="0" borderId="21" xfId="1" applyFont="1" applyBorder="1" applyAlignment="1">
      <alignment horizontal="left" vertical="top" wrapText="1"/>
    </xf>
    <xf numFmtId="164" fontId="6" fillId="0" borderId="31" xfId="1" applyNumberFormat="1" applyFont="1" applyBorder="1" applyAlignment="1">
      <alignment horizontal="right" vertical="center"/>
    </xf>
    <xf numFmtId="170" fontId="6" fillId="0" borderId="32" xfId="1" applyNumberFormat="1" applyFont="1" applyBorder="1" applyAlignment="1">
      <alignment horizontal="right" vertical="center"/>
    </xf>
    <xf numFmtId="164" fontId="6" fillId="0" borderId="32" xfId="1" applyNumberFormat="1" applyFont="1" applyBorder="1" applyAlignment="1">
      <alignment horizontal="right" vertical="center"/>
    </xf>
    <xf numFmtId="170" fontId="6" fillId="0" borderId="33" xfId="1" applyNumberFormat="1" applyFont="1" applyBorder="1" applyAlignment="1">
      <alignment horizontal="right" vertical="center"/>
    </xf>
    <xf numFmtId="164" fontId="2" fillId="0" borderId="0" xfId="1" applyNumberFormat="1"/>
    <xf numFmtId="166" fontId="2" fillId="0" borderId="0" xfId="1" applyNumberFormat="1"/>
    <xf numFmtId="0" fontId="6" fillId="0" borderId="6" xfId="1" applyFont="1" applyBorder="1" applyAlignment="1">
      <alignment horizontal="left" wrapText="1"/>
    </xf>
    <xf numFmtId="0" fontId="17" fillId="6" borderId="36" xfId="2" applyFont="1" applyFill="1" applyBorder="1" applyAlignment="1">
      <alignment horizontal="left" vertical="top" wrapText="1"/>
    </xf>
    <xf numFmtId="0" fontId="17" fillId="6" borderId="37" xfId="2" applyFont="1" applyFill="1" applyBorder="1" applyAlignment="1">
      <alignment horizontal="left" vertical="top" wrapText="1"/>
    </xf>
    <xf numFmtId="0" fontId="11" fillId="3" borderId="2" xfId="0" applyFont="1" applyFill="1" applyBorder="1" applyAlignment="1">
      <alignment horizontal="center" vertical="center" wrapText="1"/>
    </xf>
    <xf numFmtId="164" fontId="18" fillId="0" borderId="2" xfId="10" applyNumberFormat="1" applyFont="1" applyBorder="1" applyAlignment="1">
      <alignment horizontal="right" vertical="top"/>
    </xf>
    <xf numFmtId="164" fontId="20" fillId="0" borderId="2" xfId="10" applyNumberFormat="1" applyFont="1" applyBorder="1" applyAlignment="1">
      <alignment horizontal="right" vertical="center"/>
    </xf>
    <xf numFmtId="0" fontId="16" fillId="4" borderId="0" xfId="1" applyFont="1" applyFill="1"/>
    <xf numFmtId="0" fontId="17" fillId="0" borderId="34" xfId="1" applyFont="1" applyBorder="1" applyAlignment="1">
      <alignment horizontal="left" wrapText="1"/>
    </xf>
    <xf numFmtId="0" fontId="17" fillId="0" borderId="34" xfId="1" applyFont="1" applyBorder="1" applyAlignment="1">
      <alignment horizontal="center" wrapText="1"/>
    </xf>
    <xf numFmtId="0" fontId="17" fillId="6" borderId="35" xfId="1" applyFont="1" applyFill="1" applyBorder="1" applyAlignment="1">
      <alignment horizontal="left" vertical="top" wrapText="1"/>
    </xf>
    <xf numFmtId="164" fontId="16" fillId="0" borderId="35" xfId="1" applyNumberFormat="1" applyFont="1" applyBorder="1" applyAlignment="1">
      <alignment horizontal="right" vertical="top"/>
    </xf>
    <xf numFmtId="0" fontId="17" fillId="6" borderId="36" xfId="1" applyFont="1" applyFill="1" applyBorder="1" applyAlignment="1">
      <alignment horizontal="left" vertical="top" wrapText="1"/>
    </xf>
    <xf numFmtId="164" fontId="16" fillId="0" borderId="36" xfId="1" applyNumberFormat="1" applyFont="1" applyBorder="1" applyAlignment="1">
      <alignment horizontal="right" vertical="top"/>
    </xf>
    <xf numFmtId="0" fontId="17" fillId="6" borderId="37" xfId="1" applyFont="1" applyFill="1" applyBorder="1" applyAlignment="1">
      <alignment horizontal="left" vertical="top" wrapText="1"/>
    </xf>
    <xf numFmtId="164" fontId="16" fillId="0" borderId="37" xfId="1" applyNumberFormat="1" applyFont="1" applyBorder="1" applyAlignment="1">
      <alignment horizontal="right" vertical="top"/>
    </xf>
    <xf numFmtId="164" fontId="16" fillId="0" borderId="2" xfId="1" applyNumberFormat="1" applyFont="1" applyBorder="1" applyAlignment="1">
      <alignment horizontal="right" vertical="top"/>
    </xf>
    <xf numFmtId="164" fontId="20" fillId="0" borderId="2" xfId="1" applyNumberFormat="1" applyFont="1" applyBorder="1" applyAlignment="1">
      <alignment horizontal="right" vertical="top"/>
    </xf>
    <xf numFmtId="164" fontId="16" fillId="0" borderId="37" xfId="2" applyNumberFormat="1" applyFont="1" applyBorder="1" applyAlignment="1">
      <alignment horizontal="right" vertical="top"/>
    </xf>
    <xf numFmtId="0" fontId="6" fillId="0" borderId="2" xfId="3" applyFont="1" applyBorder="1" applyAlignment="1">
      <alignment vertical="center" wrapText="1"/>
    </xf>
    <xf numFmtId="0" fontId="16" fillId="6" borderId="42" xfId="2" applyFont="1" applyFill="1" applyBorder="1" applyAlignment="1">
      <alignment horizontal="left" vertical="top" wrapText="1"/>
    </xf>
    <xf numFmtId="0" fontId="16" fillId="6" borderId="45" xfId="2" applyFont="1" applyFill="1" applyBorder="1" applyAlignment="1">
      <alignment horizontal="left" vertical="top" wrapText="1"/>
    </xf>
    <xf numFmtId="0" fontId="16" fillId="6" borderId="48" xfId="2" applyFont="1" applyFill="1" applyBorder="1" applyAlignment="1">
      <alignment horizontal="left" vertical="top" wrapText="1"/>
    </xf>
    <xf numFmtId="0" fontId="16" fillId="0" borderId="0" xfId="2" applyFont="1" applyBorder="1" applyAlignment="1">
      <alignment wrapText="1"/>
    </xf>
    <xf numFmtId="0" fontId="16" fillId="0" borderId="34" xfId="2" applyFont="1" applyBorder="1" applyAlignment="1">
      <alignment wrapText="1"/>
    </xf>
    <xf numFmtId="0" fontId="5" fillId="2" borderId="2" xfId="6" applyFont="1" applyFill="1" applyBorder="1" applyAlignment="1">
      <alignment horizontal="center" vertical="center" wrapText="1"/>
    </xf>
    <xf numFmtId="0" fontId="19" fillId="6" borderId="36" xfId="9" applyFont="1" applyFill="1" applyBorder="1" applyAlignment="1">
      <alignment horizontal="left" vertical="top" wrapText="1"/>
    </xf>
    <xf numFmtId="164" fontId="18" fillId="0" borderId="36" xfId="9" applyNumberFormat="1" applyFont="1" applyBorder="1" applyAlignment="1">
      <alignment horizontal="right" vertical="top"/>
    </xf>
    <xf numFmtId="0" fontId="19" fillId="6" borderId="37" xfId="9" applyFont="1" applyFill="1" applyBorder="1" applyAlignment="1">
      <alignment horizontal="left" vertical="top" wrapText="1"/>
    </xf>
    <xf numFmtId="164" fontId="18" fillId="0" borderId="37" xfId="9" applyNumberFormat="1" applyFont="1" applyBorder="1" applyAlignment="1">
      <alignment horizontal="right" vertical="top"/>
    </xf>
    <xf numFmtId="0" fontId="17" fillId="6" borderId="35" xfId="8" applyFont="1" applyFill="1" applyBorder="1" applyAlignment="1">
      <alignment horizontal="left" vertical="top" wrapText="1"/>
    </xf>
    <xf numFmtId="0" fontId="17" fillId="6" borderId="36" xfId="8" applyFont="1" applyFill="1" applyBorder="1" applyAlignment="1">
      <alignment horizontal="left" vertical="top" wrapText="1"/>
    </xf>
    <xf numFmtId="0" fontId="7" fillId="0" borderId="2" xfId="0" applyFont="1" applyBorder="1" applyAlignment="1">
      <alignment horizontal="center" vertical="center"/>
    </xf>
    <xf numFmtId="0" fontId="7" fillId="0" borderId="2" xfId="0" applyFont="1" applyFill="1" applyBorder="1" applyAlignment="1">
      <alignment horizontal="center" vertical="center"/>
    </xf>
    <xf numFmtId="0" fontId="7" fillId="0" borderId="2" xfId="0" applyFont="1" applyFill="1" applyBorder="1" applyAlignment="1">
      <alignment vertical="center"/>
    </xf>
    <xf numFmtId="0" fontId="5" fillId="3" borderId="2" xfId="2" applyFont="1" applyFill="1" applyBorder="1" applyAlignment="1">
      <alignment horizontal="center" vertical="center" wrapText="1"/>
    </xf>
    <xf numFmtId="0" fontId="5" fillId="3" borderId="3" xfId="1" applyFont="1" applyFill="1" applyBorder="1" applyAlignment="1">
      <alignment horizontal="center" vertical="center" wrapText="1"/>
    </xf>
    <xf numFmtId="165" fontId="7" fillId="0" borderId="2" xfId="4" applyNumberFormat="1" applyFont="1" applyBorder="1" applyAlignment="1">
      <alignment vertical="center"/>
    </xf>
    <xf numFmtId="164" fontId="7" fillId="0" borderId="2" xfId="10" applyNumberFormat="1" applyFont="1" applyBorder="1" applyAlignment="1">
      <alignment vertical="top"/>
    </xf>
    <xf numFmtId="164" fontId="7" fillId="0" borderId="2" xfId="10" applyNumberFormat="1" applyFont="1" applyBorder="1" applyAlignment="1">
      <alignment vertical="center"/>
    </xf>
    <xf numFmtId="164" fontId="16" fillId="0" borderId="2" xfId="1" applyNumberFormat="1" applyFont="1" applyBorder="1" applyAlignment="1">
      <alignment horizontal="right" vertical="center"/>
    </xf>
    <xf numFmtId="170" fontId="6" fillId="0" borderId="49" xfId="2" applyNumberFormat="1" applyFont="1" applyBorder="1" applyAlignment="1">
      <alignment horizontal="right" vertical="top"/>
    </xf>
    <xf numFmtId="0" fontId="16" fillId="6" borderId="57" xfId="2" applyFont="1" applyFill="1" applyBorder="1" applyAlignment="1">
      <alignment horizontal="left" vertical="top" wrapText="1"/>
    </xf>
    <xf numFmtId="164" fontId="6" fillId="0" borderId="58" xfId="2" applyNumberFormat="1" applyFont="1" applyBorder="1" applyAlignment="1">
      <alignment horizontal="right" vertical="top"/>
    </xf>
    <xf numFmtId="1" fontId="0" fillId="0" borderId="2" xfId="0" applyNumberFormat="1" applyBorder="1"/>
    <xf numFmtId="0" fontId="5" fillId="0" borderId="2" xfId="3" applyFont="1" applyFill="1" applyBorder="1" applyAlignment="1">
      <alignment horizontal="center" vertical="center" wrapText="1"/>
    </xf>
    <xf numFmtId="0" fontId="7" fillId="0" borderId="0" xfId="0" applyFont="1"/>
    <xf numFmtId="0" fontId="6" fillId="0" borderId="4" xfId="6" applyFont="1" applyFill="1" applyBorder="1" applyAlignment="1">
      <alignment horizontal="center" vertical="center" wrapText="1"/>
    </xf>
    <xf numFmtId="0" fontId="0" fillId="0" borderId="4" xfId="0" applyFill="1" applyBorder="1" applyAlignment="1">
      <alignment vertical="center"/>
    </xf>
    <xf numFmtId="170" fontId="6" fillId="0" borderId="2" xfId="2" applyNumberFormat="1" applyFont="1" applyFill="1" applyBorder="1" applyAlignment="1">
      <alignment horizontal="center" vertical="center"/>
    </xf>
    <xf numFmtId="166" fontId="0" fillId="0" borderId="2" xfId="0" applyNumberFormat="1" applyFill="1" applyBorder="1" applyAlignment="1">
      <alignment horizontal="center" vertical="center"/>
    </xf>
    <xf numFmtId="164" fontId="14" fillId="0" borderId="2" xfId="12" applyNumberFormat="1" applyFont="1" applyBorder="1" applyAlignment="1">
      <alignment horizontal="right" vertical="top"/>
    </xf>
    <xf numFmtId="0" fontId="5" fillId="2" borderId="3" xfId="6" applyFont="1" applyFill="1" applyBorder="1" applyAlignment="1">
      <alignment vertical="center" wrapText="1"/>
    </xf>
    <xf numFmtId="0" fontId="5" fillId="2" borderId="59" xfId="6" applyFont="1" applyFill="1" applyBorder="1" applyAlignment="1">
      <alignment vertical="center" wrapText="1"/>
    </xf>
    <xf numFmtId="0" fontId="7" fillId="0" borderId="5" xfId="0" applyFont="1" applyFill="1" applyBorder="1" applyAlignment="1">
      <alignment horizontal="center" vertical="center"/>
    </xf>
    <xf numFmtId="0" fontId="7" fillId="0" borderId="2" xfId="2" applyFont="1" applyFill="1" applyBorder="1" applyAlignment="1">
      <alignment horizontal="left" vertical="top" wrapText="1"/>
    </xf>
    <xf numFmtId="0" fontId="7" fillId="0" borderId="2" xfId="11" applyFont="1" applyFill="1" applyBorder="1" applyAlignment="1">
      <alignment horizontal="left" vertical="top" wrapText="1"/>
    </xf>
    <xf numFmtId="0" fontId="8" fillId="2" borderId="2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41" fontId="7" fillId="0" borderId="2" xfId="4" applyNumberFormat="1" applyFont="1" applyBorder="1" applyAlignment="1"/>
    <xf numFmtId="10" fontId="7" fillId="0" borderId="2" xfId="5" applyNumberFormat="1" applyFont="1" applyFill="1" applyBorder="1" applyAlignment="1"/>
    <xf numFmtId="166" fontId="0" fillId="0" borderId="2" xfId="0" applyNumberFormat="1" applyBorder="1" applyAlignment="1">
      <alignment vertical="center"/>
    </xf>
    <xf numFmtId="0" fontId="7" fillId="0" borderId="2" xfId="12" applyFont="1" applyFill="1" applyBorder="1" applyAlignment="1">
      <alignment horizontal="left" vertical="top" wrapText="1"/>
    </xf>
    <xf numFmtId="0" fontId="4" fillId="0" borderId="2" xfId="0" applyFont="1" applyFill="1" applyBorder="1"/>
    <xf numFmtId="164" fontId="4" fillId="0" borderId="2" xfId="0" applyNumberFormat="1" applyFont="1" applyFill="1" applyBorder="1"/>
    <xf numFmtId="0" fontId="8" fillId="2" borderId="3" xfId="1" applyFont="1" applyFill="1" applyBorder="1" applyAlignment="1">
      <alignment horizontal="center" vertical="center" wrapText="1"/>
    </xf>
    <xf numFmtId="0" fontId="7" fillId="0" borderId="2" xfId="0" applyFont="1" applyFill="1" applyBorder="1" applyAlignment="1">
      <alignment horizontal="left" vertical="top" wrapText="1"/>
    </xf>
    <xf numFmtId="164" fontId="7" fillId="0" borderId="2" xfId="0" applyNumberFormat="1" applyFont="1" applyFill="1" applyBorder="1" applyAlignment="1">
      <alignment horizontal="right" vertical="top"/>
    </xf>
    <xf numFmtId="0" fontId="4" fillId="0" borderId="0" xfId="0" applyFont="1"/>
    <xf numFmtId="0" fontId="8" fillId="2" borderId="3" xfId="2" applyFont="1" applyFill="1" applyBorder="1" applyAlignment="1">
      <alignment horizontal="center" vertical="center" wrapText="1"/>
    </xf>
    <xf numFmtId="0" fontId="7" fillId="0" borderId="2" xfId="13" applyFont="1" applyFill="1" applyBorder="1" applyAlignment="1">
      <alignment horizontal="left" vertical="top" wrapText="1"/>
    </xf>
    <xf numFmtId="164" fontId="7" fillId="0" borderId="2" xfId="14" applyNumberFormat="1" applyFont="1" applyFill="1" applyBorder="1" applyAlignment="1">
      <alignment horizontal="right" vertical="top"/>
    </xf>
    <xf numFmtId="164" fontId="7" fillId="0" borderId="2" xfId="15" applyNumberFormat="1" applyFont="1" applyFill="1" applyBorder="1" applyAlignment="1">
      <alignment horizontal="right" vertical="top"/>
    </xf>
    <xf numFmtId="0" fontId="4" fillId="0" borderId="0" xfId="0" applyFont="1" applyFill="1"/>
    <xf numFmtId="0" fontId="8" fillId="2" borderId="2" xfId="2" applyFont="1" applyFill="1" applyBorder="1" applyAlignment="1">
      <alignment horizontal="center" vertical="center" wrapText="1"/>
    </xf>
    <xf numFmtId="0" fontId="4" fillId="0" borderId="2" xfId="0" applyFont="1" applyBorder="1"/>
    <xf numFmtId="164" fontId="7" fillId="0" borderId="2" xfId="11" applyNumberFormat="1" applyFont="1" applyFill="1" applyBorder="1" applyAlignment="1">
      <alignment horizontal="right" vertical="top"/>
    </xf>
    <xf numFmtId="0" fontId="7" fillId="0" borderId="2" xfId="16" applyFont="1" applyFill="1" applyBorder="1" applyAlignment="1">
      <alignment horizontal="left" vertical="top" wrapText="1"/>
    </xf>
    <xf numFmtId="0" fontId="8" fillId="0" borderId="0" xfId="1" applyFont="1" applyFill="1" applyBorder="1" applyAlignment="1">
      <alignment horizontal="left" vertical="center" wrapText="1"/>
    </xf>
    <xf numFmtId="0" fontId="8" fillId="0" borderId="0" xfId="6" applyFont="1" applyFill="1" applyBorder="1" applyAlignment="1">
      <alignment horizontal="left" vertical="center" wrapText="1"/>
    </xf>
    <xf numFmtId="0" fontId="7" fillId="0" borderId="2" xfId="17" applyFont="1" applyFill="1" applyBorder="1" applyAlignment="1">
      <alignment horizontal="left" vertical="top" wrapText="1"/>
    </xf>
    <xf numFmtId="164" fontId="7" fillId="0" borderId="5" xfId="7" applyNumberFormat="1" applyFont="1" applyBorder="1" applyAlignment="1">
      <alignment horizontal="center" vertical="center"/>
    </xf>
    <xf numFmtId="0" fontId="8" fillId="0" borderId="0" xfId="2" applyFont="1" applyFill="1" applyBorder="1" applyAlignment="1">
      <alignment horizontal="left" vertical="center" wrapText="1"/>
    </xf>
    <xf numFmtId="0" fontId="4" fillId="0" borderId="5" xfId="0" applyFont="1" applyFill="1" applyBorder="1" applyAlignment="1">
      <alignment horizontal="center" vertical="center"/>
    </xf>
    <xf numFmtId="0" fontId="7" fillId="0" borderId="35" xfId="11" applyFont="1" applyFill="1" applyBorder="1" applyAlignment="1">
      <alignment horizontal="left" vertical="top" wrapText="1"/>
    </xf>
    <xf numFmtId="0" fontId="7" fillId="0" borderId="36" xfId="11" applyFont="1" applyFill="1" applyBorder="1" applyAlignment="1">
      <alignment horizontal="left" vertical="top" wrapText="1"/>
    </xf>
    <xf numFmtId="0" fontId="4" fillId="0" borderId="2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1" fillId="0" borderId="0" xfId="18"/>
    <xf numFmtId="0" fontId="22" fillId="4" borderId="0" xfId="18" applyFont="1" applyFill="1"/>
    <xf numFmtId="0" fontId="23" fillId="0" borderId="34" xfId="18" applyFont="1" applyBorder="1" applyAlignment="1">
      <alignment horizontal="left" wrapText="1"/>
    </xf>
    <xf numFmtId="0" fontId="23" fillId="0" borderId="34" xfId="18" applyFont="1" applyBorder="1" applyAlignment="1">
      <alignment horizontal="center" wrapText="1"/>
    </xf>
    <xf numFmtId="0" fontId="23" fillId="6" borderId="35" xfId="18" applyFont="1" applyFill="1" applyBorder="1" applyAlignment="1">
      <alignment horizontal="left" vertical="top" wrapText="1"/>
    </xf>
    <xf numFmtId="164" fontId="22" fillId="0" borderId="35" xfId="18" applyNumberFormat="1" applyFont="1" applyBorder="1" applyAlignment="1">
      <alignment horizontal="right" vertical="top"/>
    </xf>
    <xf numFmtId="0" fontId="23" fillId="6" borderId="36" xfId="18" applyFont="1" applyFill="1" applyBorder="1" applyAlignment="1">
      <alignment horizontal="left" vertical="top" wrapText="1"/>
    </xf>
    <xf numFmtId="164" fontId="22" fillId="0" borderId="36" xfId="18" applyNumberFormat="1" applyFont="1" applyBorder="1" applyAlignment="1">
      <alignment horizontal="right" vertical="top"/>
    </xf>
    <xf numFmtId="0" fontId="23" fillId="6" borderId="37" xfId="18" applyFont="1" applyFill="1" applyBorder="1" applyAlignment="1">
      <alignment horizontal="left" vertical="top" wrapText="1"/>
    </xf>
    <xf numFmtId="164" fontId="22" fillId="0" borderId="37" xfId="18" applyNumberFormat="1" applyFont="1" applyBorder="1" applyAlignment="1">
      <alignment horizontal="right" vertical="top"/>
    </xf>
    <xf numFmtId="41" fontId="7" fillId="0" borderId="4" xfId="4" applyNumberFormat="1" applyFont="1" applyBorder="1" applyAlignment="1">
      <alignment horizontal="right" vertical="center"/>
    </xf>
    <xf numFmtId="41" fontId="7" fillId="0" borderId="2" xfId="4" applyNumberFormat="1" applyFont="1" applyBorder="1" applyAlignment="1">
      <alignment horizontal="right" vertical="center"/>
    </xf>
    <xf numFmtId="41" fontId="7" fillId="0" borderId="2" xfId="4" applyNumberFormat="1" applyFont="1" applyBorder="1" applyAlignment="1">
      <alignment horizontal="right" vertical="top"/>
    </xf>
    <xf numFmtId="41" fontId="16" fillId="0" borderId="2" xfId="4" applyNumberFormat="1" applyFont="1" applyBorder="1" applyAlignment="1">
      <alignment horizontal="right" vertical="top"/>
    </xf>
    <xf numFmtId="41" fontId="8" fillId="0" borderId="4" xfId="4" applyNumberFormat="1" applyFont="1" applyBorder="1" applyAlignment="1">
      <alignment horizontal="right" vertical="center"/>
    </xf>
    <xf numFmtId="41" fontId="8" fillId="0" borderId="2" xfId="4" applyNumberFormat="1" applyFont="1" applyBorder="1" applyAlignment="1">
      <alignment horizontal="right" vertical="center"/>
    </xf>
    <xf numFmtId="41" fontId="20" fillId="0" borderId="2" xfId="4" applyNumberFormat="1" applyFont="1" applyBorder="1" applyAlignment="1">
      <alignment horizontal="right" vertical="center"/>
    </xf>
    <xf numFmtId="41" fontId="7" fillId="0" borderId="47" xfId="4" applyNumberFormat="1" applyFont="1" applyBorder="1" applyAlignment="1"/>
    <xf numFmtId="41" fontId="7" fillId="0" borderId="44" xfId="4" applyNumberFormat="1" applyFont="1" applyBorder="1" applyAlignment="1"/>
    <xf numFmtId="41" fontId="2" fillId="0" borderId="2" xfId="4" applyNumberFormat="1" applyFont="1" applyFill="1" applyBorder="1" applyAlignment="1">
      <alignment horizontal="center" vertical="center"/>
    </xf>
    <xf numFmtId="41" fontId="0" fillId="0" borderId="2" xfId="4" applyNumberFormat="1" applyFont="1" applyFill="1" applyBorder="1" applyAlignment="1">
      <alignment horizontal="center" vertical="center"/>
    </xf>
    <xf numFmtId="166" fontId="7" fillId="0" borderId="2" xfId="11" applyNumberFormat="1" applyFont="1" applyFill="1" applyBorder="1" applyAlignment="1">
      <alignment horizontal="right" vertical="center"/>
    </xf>
    <xf numFmtId="166" fontId="14" fillId="0" borderId="2" xfId="11" applyNumberFormat="1" applyFont="1" applyFill="1" applyBorder="1" applyAlignment="1">
      <alignment horizontal="right" vertical="center"/>
    </xf>
    <xf numFmtId="166" fontId="4" fillId="0" borderId="2" xfId="0" applyNumberFormat="1" applyFont="1" applyFill="1" applyBorder="1" applyAlignment="1">
      <alignment vertical="center"/>
    </xf>
    <xf numFmtId="41" fontId="13" fillId="0" borderId="2" xfId="4" applyNumberFormat="1" applyFont="1" applyFill="1" applyBorder="1" applyAlignment="1">
      <alignment vertical="center"/>
    </xf>
    <xf numFmtId="41" fontId="0" fillId="0" borderId="2" xfId="4" applyNumberFormat="1" applyFont="1" applyFill="1" applyBorder="1" applyAlignment="1">
      <alignment vertical="center"/>
    </xf>
    <xf numFmtId="166" fontId="14" fillId="0" borderId="2" xfId="12" applyNumberFormat="1" applyFont="1" applyBorder="1" applyAlignment="1">
      <alignment horizontal="right" vertical="top"/>
    </xf>
    <xf numFmtId="0" fontId="21" fillId="0" borderId="0" xfId="19"/>
    <xf numFmtId="0" fontId="7" fillId="7" borderId="0" xfId="20" applyFont="1" applyFill="1" applyBorder="1" applyAlignment="1">
      <alignment textRotation="90" wrapText="1"/>
    </xf>
    <xf numFmtId="0" fontId="8" fillId="7" borderId="3" xfId="19" applyFont="1" applyFill="1" applyBorder="1" applyAlignment="1">
      <alignment horizontal="center" vertical="center" wrapText="1"/>
    </xf>
    <xf numFmtId="0" fontId="22" fillId="6" borderId="42" xfId="19" applyFont="1" applyFill="1" applyBorder="1" applyAlignment="1">
      <alignment horizontal="left" vertical="top" wrapText="1"/>
    </xf>
    <xf numFmtId="170" fontId="24" fillId="0" borderId="53" xfId="19" applyNumberFormat="1" applyFont="1" applyBorder="1" applyAlignment="1">
      <alignment horizontal="right" vertical="top"/>
    </xf>
    <xf numFmtId="0" fontId="22" fillId="6" borderId="45" xfId="19" applyFont="1" applyFill="1" applyBorder="1" applyAlignment="1">
      <alignment horizontal="left" vertical="top" wrapText="1"/>
    </xf>
    <xf numFmtId="170" fontId="24" fillId="0" borderId="55" xfId="19" applyNumberFormat="1" applyFont="1" applyBorder="1" applyAlignment="1">
      <alignment horizontal="right" vertical="top"/>
    </xf>
    <xf numFmtId="0" fontId="22" fillId="6" borderId="48" xfId="19" applyFont="1" applyFill="1" applyBorder="1" applyAlignment="1">
      <alignment horizontal="left" vertical="top" wrapText="1"/>
    </xf>
    <xf numFmtId="170" fontId="24" fillId="0" borderId="54" xfId="19" applyNumberFormat="1" applyFont="1" applyBorder="1" applyAlignment="1">
      <alignment horizontal="right" vertical="top"/>
    </xf>
    <xf numFmtId="164" fontId="24" fillId="0" borderId="50" xfId="19" applyNumberFormat="1" applyFont="1" applyBorder="1" applyAlignment="1">
      <alignment horizontal="right" vertical="top"/>
    </xf>
    <xf numFmtId="170" fontId="24" fillId="0" borderId="2" xfId="19" applyNumberFormat="1" applyFont="1" applyBorder="1" applyAlignment="1">
      <alignment horizontal="right" vertical="top"/>
    </xf>
    <xf numFmtId="164" fontId="24" fillId="0" borderId="2" xfId="19" applyNumberFormat="1" applyFont="1" applyBorder="1" applyAlignment="1">
      <alignment horizontal="right" vertical="top"/>
    </xf>
    <xf numFmtId="0" fontId="8" fillId="2" borderId="2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11" fillId="3" borderId="0" xfId="0" applyFont="1" applyFill="1" applyBorder="1" applyAlignment="1">
      <alignment horizontal="center" vertical="center" wrapText="1"/>
    </xf>
    <xf numFmtId="0" fontId="11" fillId="5" borderId="0" xfId="0" applyFont="1" applyFill="1" applyBorder="1" applyAlignment="1">
      <alignment horizontal="center" vertical="center" wrapText="1"/>
    </xf>
    <xf numFmtId="0" fontId="11" fillId="5" borderId="3" xfId="0" applyFont="1" applyFill="1" applyBorder="1" applyAlignment="1">
      <alignment horizontal="center" vertical="center" wrapText="1"/>
    </xf>
    <xf numFmtId="0" fontId="21" fillId="0" borderId="0" xfId="21"/>
    <xf numFmtId="0" fontId="22" fillId="6" borderId="42" xfId="21" applyFont="1" applyFill="1" applyBorder="1" applyAlignment="1">
      <alignment horizontal="left" vertical="top" wrapText="1"/>
    </xf>
    <xf numFmtId="170" fontId="24" fillId="0" borderId="43" xfId="21" applyNumberFormat="1" applyFont="1" applyBorder="1" applyAlignment="1">
      <alignment horizontal="right" vertical="top"/>
    </xf>
    <xf numFmtId="164" fontId="24" fillId="0" borderId="53" xfId="21" applyNumberFormat="1" applyFont="1" applyBorder="1" applyAlignment="1">
      <alignment horizontal="right" vertical="top"/>
    </xf>
    <xf numFmtId="170" fontId="24" fillId="0" borderId="53" xfId="21" applyNumberFormat="1" applyFont="1" applyBorder="1" applyAlignment="1">
      <alignment horizontal="right" vertical="top"/>
    </xf>
    <xf numFmtId="164" fontId="24" fillId="0" borderId="44" xfId="21" applyNumberFormat="1" applyFont="1" applyBorder="1" applyAlignment="1">
      <alignment horizontal="right" vertical="top"/>
    </xf>
    <xf numFmtId="0" fontId="22" fillId="6" borderId="45" xfId="21" applyFont="1" applyFill="1" applyBorder="1" applyAlignment="1">
      <alignment horizontal="left" vertical="top" wrapText="1"/>
    </xf>
    <xf numFmtId="170" fontId="24" fillId="0" borderId="46" xfId="21" applyNumberFormat="1" applyFont="1" applyBorder="1" applyAlignment="1">
      <alignment horizontal="right" vertical="top"/>
    </xf>
    <xf numFmtId="164" fontId="24" fillId="0" borderId="55" xfId="21" applyNumberFormat="1" applyFont="1" applyBorder="1" applyAlignment="1">
      <alignment horizontal="right" vertical="top"/>
    </xf>
    <xf numFmtId="170" fontId="24" fillId="0" borderId="55" xfId="21" applyNumberFormat="1" applyFont="1" applyBorder="1" applyAlignment="1">
      <alignment horizontal="right" vertical="top"/>
    </xf>
    <xf numFmtId="164" fontId="24" fillId="0" borderId="47" xfId="21" applyNumberFormat="1" applyFont="1" applyBorder="1" applyAlignment="1">
      <alignment horizontal="right" vertical="top"/>
    </xf>
    <xf numFmtId="0" fontId="22" fillId="6" borderId="48" xfId="21" applyFont="1" applyFill="1" applyBorder="1" applyAlignment="1">
      <alignment horizontal="left" vertical="top" wrapText="1"/>
    </xf>
    <xf numFmtId="170" fontId="24" fillId="0" borderId="49" xfId="21" applyNumberFormat="1" applyFont="1" applyBorder="1" applyAlignment="1">
      <alignment horizontal="right" vertical="top"/>
    </xf>
    <xf numFmtId="164" fontId="24" fillId="0" borderId="54" xfId="21" applyNumberFormat="1" applyFont="1" applyBorder="1" applyAlignment="1">
      <alignment horizontal="right" vertical="top"/>
    </xf>
    <xf numFmtId="170" fontId="24" fillId="0" borderId="54" xfId="21" applyNumberFormat="1" applyFont="1" applyBorder="1" applyAlignment="1">
      <alignment horizontal="right" vertical="top"/>
    </xf>
    <xf numFmtId="164" fontId="24" fillId="0" borderId="50" xfId="21" applyNumberFormat="1" applyFont="1" applyBorder="1" applyAlignment="1">
      <alignment horizontal="right" vertical="top"/>
    </xf>
    <xf numFmtId="0" fontId="22" fillId="0" borderId="0" xfId="21" applyFont="1" applyBorder="1" applyAlignment="1">
      <alignment wrapText="1"/>
    </xf>
    <xf numFmtId="0" fontId="22" fillId="0" borderId="34" xfId="21" applyFont="1" applyBorder="1" applyAlignment="1">
      <alignment wrapText="1"/>
    </xf>
    <xf numFmtId="0" fontId="22" fillId="0" borderId="0" xfId="21" applyFont="1" applyBorder="1" applyAlignment="1">
      <alignment horizontal="left" wrapText="1"/>
    </xf>
    <xf numFmtId="0" fontId="22" fillId="0" borderId="38" xfId="21" applyFont="1" applyBorder="1" applyAlignment="1">
      <alignment horizontal="center" wrapText="1"/>
    </xf>
    <xf numFmtId="0" fontId="22" fillId="0" borderId="51" xfId="21" applyFont="1" applyBorder="1" applyAlignment="1">
      <alignment horizontal="center" wrapText="1"/>
    </xf>
    <xf numFmtId="164" fontId="24" fillId="0" borderId="43" xfId="21" applyNumberFormat="1" applyFont="1" applyBorder="1" applyAlignment="1">
      <alignment horizontal="right" vertical="top"/>
    </xf>
    <xf numFmtId="170" fontId="24" fillId="0" borderId="44" xfId="21" applyNumberFormat="1" applyFont="1" applyBorder="1" applyAlignment="1">
      <alignment horizontal="right" vertical="top"/>
    </xf>
    <xf numFmtId="164" fontId="24" fillId="0" borderId="46" xfId="21" applyNumberFormat="1" applyFont="1" applyBorder="1" applyAlignment="1">
      <alignment horizontal="right" vertical="top"/>
    </xf>
    <xf numFmtId="170" fontId="24" fillId="0" borderId="47" xfId="21" applyNumberFormat="1" applyFont="1" applyBorder="1" applyAlignment="1">
      <alignment horizontal="right" vertical="top"/>
    </xf>
    <xf numFmtId="164" fontId="24" fillId="0" borderId="49" xfId="21" applyNumberFormat="1" applyFont="1" applyBorder="1" applyAlignment="1">
      <alignment horizontal="right" vertical="top"/>
    </xf>
    <xf numFmtId="170" fontId="24" fillId="0" borderId="50" xfId="21" applyNumberFormat="1" applyFont="1" applyBorder="1" applyAlignment="1">
      <alignment horizontal="right" vertical="top"/>
    </xf>
    <xf numFmtId="0" fontId="8" fillId="2" borderId="2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22" fillId="0" borderId="0" xfId="22" applyFont="1" applyBorder="1" applyAlignment="1">
      <alignment horizontal="left" wrapText="1"/>
    </xf>
    <xf numFmtId="0" fontId="22" fillId="0" borderId="38" xfId="22" applyFont="1" applyBorder="1" applyAlignment="1">
      <alignment horizontal="center" wrapText="1"/>
    </xf>
    <xf numFmtId="0" fontId="22" fillId="0" borderId="51" xfId="22" applyFont="1" applyBorder="1" applyAlignment="1">
      <alignment horizontal="center" wrapText="1"/>
    </xf>
    <xf numFmtId="0" fontId="22" fillId="0" borderId="39" xfId="22" applyFont="1" applyBorder="1" applyAlignment="1">
      <alignment horizontal="center" wrapText="1"/>
    </xf>
    <xf numFmtId="0" fontId="21" fillId="0" borderId="0" xfId="22"/>
    <xf numFmtId="0" fontId="22" fillId="0" borderId="34" xfId="22" applyFont="1" applyBorder="1" applyAlignment="1">
      <alignment horizontal="left" wrapText="1"/>
    </xf>
    <xf numFmtId="0" fontId="22" fillId="0" borderId="40" xfId="22" applyFont="1" applyBorder="1" applyAlignment="1">
      <alignment horizontal="center" wrapText="1"/>
    </xf>
    <xf numFmtId="0" fontId="22" fillId="0" borderId="52" xfId="22" applyFont="1" applyBorder="1" applyAlignment="1">
      <alignment horizontal="center" wrapText="1"/>
    </xf>
    <xf numFmtId="0" fontId="22" fillId="0" borderId="41" xfId="22" applyFont="1" applyBorder="1" applyAlignment="1">
      <alignment horizontal="center" wrapText="1"/>
    </xf>
    <xf numFmtId="0" fontId="22" fillId="6" borderId="42" xfId="22" applyFont="1" applyFill="1" applyBorder="1" applyAlignment="1">
      <alignment horizontal="left" vertical="top" wrapText="1"/>
    </xf>
    <xf numFmtId="170" fontId="24" fillId="0" borderId="53" xfId="22" applyNumberFormat="1" applyFont="1" applyBorder="1" applyAlignment="1">
      <alignment horizontal="right" vertical="top"/>
    </xf>
    <xf numFmtId="164" fontId="24" fillId="0" borderId="53" xfId="22" applyNumberFormat="1" applyFont="1" applyBorder="1" applyAlignment="1">
      <alignment horizontal="right" vertical="top"/>
    </xf>
    <xf numFmtId="170" fontId="24" fillId="0" borderId="44" xfId="22" applyNumberFormat="1" applyFont="1" applyBorder="1" applyAlignment="1">
      <alignment horizontal="right" vertical="top"/>
    </xf>
    <xf numFmtId="0" fontId="22" fillId="6" borderId="45" xfId="22" applyFont="1" applyFill="1" applyBorder="1" applyAlignment="1">
      <alignment horizontal="left" vertical="top" wrapText="1"/>
    </xf>
    <xf numFmtId="170" fontId="24" fillId="0" borderId="55" xfId="22" applyNumberFormat="1" applyFont="1" applyBorder="1" applyAlignment="1">
      <alignment horizontal="right" vertical="top"/>
    </xf>
    <xf numFmtId="164" fontId="24" fillId="0" borderId="55" xfId="22" applyNumberFormat="1" applyFont="1" applyBorder="1" applyAlignment="1">
      <alignment horizontal="right" vertical="top"/>
    </xf>
    <xf numFmtId="170" fontId="24" fillId="0" borderId="47" xfId="22" applyNumberFormat="1" applyFont="1" applyBorder="1" applyAlignment="1">
      <alignment horizontal="right" vertical="top"/>
    </xf>
    <xf numFmtId="0" fontId="22" fillId="6" borderId="48" xfId="22" applyFont="1" applyFill="1" applyBorder="1" applyAlignment="1">
      <alignment horizontal="left" vertical="top" wrapText="1"/>
    </xf>
    <xf numFmtId="170" fontId="24" fillId="0" borderId="54" xfId="22" applyNumberFormat="1" applyFont="1" applyBorder="1" applyAlignment="1">
      <alignment horizontal="right" vertical="top"/>
    </xf>
    <xf numFmtId="164" fontId="24" fillId="0" borderId="54" xfId="22" applyNumberFormat="1" applyFont="1" applyBorder="1" applyAlignment="1">
      <alignment horizontal="right" vertical="top"/>
    </xf>
    <xf numFmtId="170" fontId="24" fillId="0" borderId="50" xfId="22" applyNumberFormat="1" applyFont="1" applyBorder="1" applyAlignment="1">
      <alignment horizontal="right" vertical="top"/>
    </xf>
    <xf numFmtId="0" fontId="22" fillId="0" borderId="42" xfId="22" applyFont="1" applyFill="1" applyBorder="1" applyAlignment="1">
      <alignment horizontal="left" vertical="top" wrapText="1"/>
    </xf>
    <xf numFmtId="0" fontId="22" fillId="0" borderId="45" xfId="22" applyFont="1" applyFill="1" applyBorder="1" applyAlignment="1">
      <alignment horizontal="left" vertical="top" wrapText="1"/>
    </xf>
    <xf numFmtId="0" fontId="22" fillId="0" borderId="48" xfId="22" applyFont="1" applyFill="1" applyBorder="1" applyAlignment="1">
      <alignment horizontal="left" vertical="top" wrapText="1"/>
    </xf>
    <xf numFmtId="41" fontId="7" fillId="0" borderId="60" xfId="4" applyNumberFormat="1" applyFont="1" applyFill="1" applyBorder="1" applyAlignment="1"/>
    <xf numFmtId="170" fontId="24" fillId="0" borderId="43" xfId="22" applyNumberFormat="1" applyFont="1" applyBorder="1" applyAlignment="1">
      <alignment horizontal="right" vertical="top"/>
    </xf>
    <xf numFmtId="164" fontId="24" fillId="0" borderId="44" xfId="22" applyNumberFormat="1" applyFont="1" applyBorder="1" applyAlignment="1">
      <alignment horizontal="right" vertical="top"/>
    </xf>
    <xf numFmtId="170" fontId="24" fillId="0" borderId="46" xfId="22" applyNumberFormat="1" applyFont="1" applyBorder="1" applyAlignment="1">
      <alignment horizontal="right" vertical="top"/>
    </xf>
    <xf numFmtId="164" fontId="24" fillId="0" borderId="47" xfId="22" applyNumberFormat="1" applyFont="1" applyBorder="1" applyAlignment="1">
      <alignment horizontal="right" vertical="top"/>
    </xf>
    <xf numFmtId="170" fontId="24" fillId="0" borderId="49" xfId="22" applyNumberFormat="1" applyFont="1" applyBorder="1" applyAlignment="1">
      <alignment horizontal="right" vertical="top"/>
    </xf>
    <xf numFmtId="164" fontId="24" fillId="0" borderId="50" xfId="22" applyNumberFormat="1" applyFont="1" applyBorder="1" applyAlignment="1">
      <alignment horizontal="right" vertical="top"/>
    </xf>
    <xf numFmtId="166" fontId="6" fillId="0" borderId="2" xfId="2" applyNumberFormat="1" applyFont="1" applyBorder="1" applyAlignment="1">
      <alignment horizontal="right" vertical="center"/>
    </xf>
    <xf numFmtId="166" fontId="2" fillId="0" borderId="2" xfId="2" applyNumberFormat="1" applyBorder="1" applyAlignment="1">
      <alignment vertical="center"/>
    </xf>
    <xf numFmtId="41" fontId="0" fillId="0" borderId="2" xfId="4" applyNumberFormat="1" applyFont="1" applyBorder="1" applyAlignment="1">
      <alignment vertical="center"/>
    </xf>
    <xf numFmtId="164" fontId="24" fillId="0" borderId="53" xfId="22" applyNumberFormat="1" applyFont="1" applyFill="1" applyBorder="1" applyAlignment="1">
      <alignment horizontal="right" vertical="top"/>
    </xf>
    <xf numFmtId="170" fontId="24" fillId="0" borderId="43" xfId="22" applyNumberFormat="1" applyFont="1" applyFill="1" applyBorder="1" applyAlignment="1">
      <alignment horizontal="right" vertical="top"/>
    </xf>
    <xf numFmtId="170" fontId="24" fillId="0" borderId="53" xfId="22" applyNumberFormat="1" applyFont="1" applyFill="1" applyBorder="1" applyAlignment="1">
      <alignment horizontal="right" vertical="top"/>
    </xf>
    <xf numFmtId="164" fontId="24" fillId="0" borderId="44" xfId="22" applyNumberFormat="1" applyFont="1" applyFill="1" applyBorder="1" applyAlignment="1">
      <alignment horizontal="right" vertical="top"/>
    </xf>
    <xf numFmtId="164" fontId="24" fillId="0" borderId="55" xfId="22" applyNumberFormat="1" applyFont="1" applyFill="1" applyBorder="1" applyAlignment="1">
      <alignment horizontal="right" vertical="top"/>
    </xf>
    <xf numFmtId="170" fontId="24" fillId="0" borderId="46" xfId="22" applyNumberFormat="1" applyFont="1" applyFill="1" applyBorder="1" applyAlignment="1">
      <alignment horizontal="right" vertical="top"/>
    </xf>
    <xf numFmtId="170" fontId="24" fillId="0" borderId="55" xfId="22" applyNumberFormat="1" applyFont="1" applyFill="1" applyBorder="1" applyAlignment="1">
      <alignment horizontal="right" vertical="top"/>
    </xf>
    <xf numFmtId="164" fontId="24" fillId="0" borderId="47" xfId="22" applyNumberFormat="1" applyFont="1" applyFill="1" applyBorder="1" applyAlignment="1">
      <alignment horizontal="right" vertical="top"/>
    </xf>
    <xf numFmtId="164" fontId="24" fillId="0" borderId="54" xfId="22" applyNumberFormat="1" applyFont="1" applyFill="1" applyBorder="1" applyAlignment="1">
      <alignment horizontal="right" vertical="top"/>
    </xf>
    <xf numFmtId="170" fontId="24" fillId="0" borderId="49" xfId="22" applyNumberFormat="1" applyFont="1" applyFill="1" applyBorder="1" applyAlignment="1">
      <alignment horizontal="right" vertical="top"/>
    </xf>
    <xf numFmtId="170" fontId="24" fillId="0" borderId="54" xfId="22" applyNumberFormat="1" applyFont="1" applyFill="1" applyBorder="1" applyAlignment="1">
      <alignment horizontal="right" vertical="top"/>
    </xf>
    <xf numFmtId="164" fontId="24" fillId="0" borderId="50" xfId="22" applyNumberFormat="1" applyFont="1" applyFill="1" applyBorder="1" applyAlignment="1">
      <alignment horizontal="right" vertical="top"/>
    </xf>
    <xf numFmtId="164" fontId="24" fillId="0" borderId="43" xfId="22" applyNumberFormat="1" applyFont="1" applyFill="1" applyBorder="1" applyAlignment="1">
      <alignment horizontal="right" vertical="top"/>
    </xf>
    <xf numFmtId="164" fontId="24" fillId="0" borderId="46" xfId="22" applyNumberFormat="1" applyFont="1" applyFill="1" applyBorder="1" applyAlignment="1">
      <alignment horizontal="right" vertical="top"/>
    </xf>
    <xf numFmtId="164" fontId="24" fillId="0" borderId="49" xfId="22" applyNumberFormat="1" applyFont="1" applyFill="1" applyBorder="1" applyAlignment="1">
      <alignment horizontal="right" vertical="top"/>
    </xf>
    <xf numFmtId="0" fontId="22" fillId="0" borderId="2" xfId="22" applyFont="1" applyFill="1" applyBorder="1" applyAlignment="1">
      <alignment horizontal="left" vertical="top" wrapText="1"/>
    </xf>
    <xf numFmtId="164" fontId="24" fillId="0" borderId="43" xfId="22" applyNumberFormat="1" applyFont="1" applyBorder="1" applyAlignment="1">
      <alignment horizontal="right" vertical="top"/>
    </xf>
    <xf numFmtId="164" fontId="24" fillId="0" borderId="46" xfId="22" applyNumberFormat="1" applyFont="1" applyBorder="1" applyAlignment="1">
      <alignment horizontal="right" vertical="top"/>
    </xf>
    <xf numFmtId="164" fontId="24" fillId="0" borderId="49" xfId="22" applyNumberFormat="1" applyFont="1" applyBorder="1" applyAlignment="1">
      <alignment horizontal="right" vertical="top"/>
    </xf>
    <xf numFmtId="164" fontId="7" fillId="0" borderId="2" xfId="12" applyNumberFormat="1" applyFont="1" applyFill="1" applyBorder="1" applyAlignment="1">
      <alignment horizontal="center" vertical="top"/>
    </xf>
    <xf numFmtId="166" fontId="7" fillId="0" borderId="2" xfId="12" applyNumberFormat="1" applyFont="1" applyFill="1" applyBorder="1" applyAlignment="1">
      <alignment horizontal="center" vertical="top"/>
    </xf>
    <xf numFmtId="164" fontId="4" fillId="0" borderId="2" xfId="0" applyNumberFormat="1" applyFont="1" applyFill="1" applyBorder="1" applyAlignment="1">
      <alignment horizontal="center"/>
    </xf>
    <xf numFmtId="166" fontId="4" fillId="0" borderId="2" xfId="0" applyNumberFormat="1" applyFont="1" applyFill="1" applyBorder="1" applyAlignment="1">
      <alignment horizontal="center"/>
    </xf>
    <xf numFmtId="170" fontId="7" fillId="0" borderId="2" xfId="12" applyNumberFormat="1" applyFont="1" applyFill="1" applyBorder="1" applyAlignment="1">
      <alignment horizontal="center" vertical="center"/>
    </xf>
    <xf numFmtId="0" fontId="0" fillId="0" borderId="2" xfId="0" applyFont="1" applyFill="1" applyBorder="1"/>
    <xf numFmtId="164" fontId="24" fillId="0" borderId="53" xfId="19" applyNumberFormat="1" applyFont="1" applyBorder="1" applyAlignment="1">
      <alignment horizontal="right" vertical="top"/>
    </xf>
    <xf numFmtId="170" fontId="24" fillId="0" borderId="44" xfId="19" applyNumberFormat="1" applyFont="1" applyBorder="1" applyAlignment="1">
      <alignment horizontal="right" vertical="top"/>
    </xf>
    <xf numFmtId="164" fontId="24" fillId="0" borderId="55" xfId="19" applyNumberFormat="1" applyFont="1" applyBorder="1" applyAlignment="1">
      <alignment horizontal="right" vertical="top"/>
    </xf>
    <xf numFmtId="170" fontId="24" fillId="0" borderId="47" xfId="19" applyNumberFormat="1" applyFont="1" applyBorder="1" applyAlignment="1">
      <alignment horizontal="right" vertical="top"/>
    </xf>
    <xf numFmtId="164" fontId="21" fillId="0" borderId="54" xfId="19" applyNumberFormat="1" applyFont="1" applyBorder="1" applyAlignment="1">
      <alignment horizontal="right" vertical="top"/>
    </xf>
    <xf numFmtId="170" fontId="21" fillId="0" borderId="50" xfId="19" applyNumberFormat="1" applyFont="1" applyBorder="1" applyAlignment="1">
      <alignment horizontal="right" vertical="top"/>
    </xf>
    <xf numFmtId="0" fontId="5" fillId="2" borderId="3" xfId="19" applyFont="1" applyFill="1" applyBorder="1" applyAlignment="1">
      <alignment vertical="center" wrapText="1"/>
    </xf>
    <xf numFmtId="0" fontId="5" fillId="2" borderId="59" xfId="19" applyFont="1" applyFill="1" applyBorder="1" applyAlignment="1">
      <alignment vertical="center" wrapText="1"/>
    </xf>
    <xf numFmtId="0" fontId="22" fillId="0" borderId="2" xfId="19" applyFont="1" applyFill="1" applyBorder="1" applyAlignment="1">
      <alignment horizontal="left" vertical="top" wrapText="1"/>
    </xf>
    <xf numFmtId="0" fontId="0" fillId="0" borderId="2" xfId="0" applyFill="1" applyBorder="1"/>
    <xf numFmtId="0" fontId="15" fillId="0" borderId="0" xfId="18" applyFont="1" applyBorder="1" applyAlignment="1">
      <alignment horizontal="center" vertical="center" wrapText="1"/>
    </xf>
    <xf numFmtId="0" fontId="12" fillId="0" borderId="0" xfId="1" applyFont="1" applyBorder="1" applyAlignment="1">
      <alignment horizontal="center" vertical="center" wrapText="1"/>
    </xf>
    <xf numFmtId="0" fontId="15" fillId="0" borderId="0" xfId="1" applyFont="1" applyBorder="1" applyAlignment="1">
      <alignment horizontal="center" vertical="center" wrapText="1"/>
    </xf>
    <xf numFmtId="0" fontId="6" fillId="0" borderId="10" xfId="1" applyFont="1" applyBorder="1" applyAlignment="1">
      <alignment horizontal="left" vertical="top" wrapText="1"/>
    </xf>
    <xf numFmtId="0" fontId="6" fillId="0" borderId="15" xfId="1" applyFont="1" applyBorder="1" applyAlignment="1">
      <alignment horizontal="left" vertical="top" wrapText="1"/>
    </xf>
    <xf numFmtId="0" fontId="6" fillId="0" borderId="20" xfId="1" applyFont="1" applyBorder="1" applyAlignment="1">
      <alignment horizontal="left" vertical="top" wrapText="1"/>
    </xf>
    <xf numFmtId="0" fontId="6" fillId="0" borderId="6" xfId="1" applyFont="1" applyBorder="1" applyAlignment="1">
      <alignment horizontal="left" wrapText="1"/>
    </xf>
    <xf numFmtId="0" fontId="6" fillId="0" borderId="10" xfId="1" applyFont="1" applyBorder="1" applyAlignment="1">
      <alignment horizontal="left" wrapText="1"/>
    </xf>
    <xf numFmtId="0" fontId="6" fillId="0" borderId="11" xfId="1" applyFont="1" applyBorder="1" applyAlignment="1">
      <alignment horizontal="left" wrapText="1"/>
    </xf>
    <xf numFmtId="0" fontId="6" fillId="0" borderId="15" xfId="1" applyFont="1" applyBorder="1" applyAlignment="1">
      <alignment horizontal="left" wrapText="1"/>
    </xf>
    <xf numFmtId="0" fontId="6" fillId="0" borderId="16" xfId="1" applyFont="1" applyBorder="1" applyAlignment="1">
      <alignment horizontal="left" wrapText="1"/>
    </xf>
    <xf numFmtId="0" fontId="6" fillId="0" borderId="20" xfId="1" applyFont="1" applyBorder="1" applyAlignment="1">
      <alignment horizontal="left" wrapText="1"/>
    </xf>
    <xf numFmtId="0" fontId="6" fillId="0" borderId="21" xfId="1" applyFont="1" applyBorder="1" applyAlignment="1">
      <alignment horizontal="left" wrapText="1"/>
    </xf>
    <xf numFmtId="0" fontId="6" fillId="0" borderId="12" xfId="1" applyFont="1" applyBorder="1" applyAlignment="1">
      <alignment horizontal="center" wrapText="1"/>
    </xf>
    <xf numFmtId="0" fontId="6" fillId="0" borderId="13" xfId="1" applyFont="1" applyBorder="1" applyAlignment="1">
      <alignment horizontal="center" wrapText="1"/>
    </xf>
    <xf numFmtId="0" fontId="6" fillId="0" borderId="14" xfId="1" applyFont="1" applyBorder="1" applyAlignment="1">
      <alignment horizontal="center" wrapText="1"/>
    </xf>
    <xf numFmtId="0" fontId="6" fillId="0" borderId="17" xfId="1" applyFont="1" applyBorder="1" applyAlignment="1">
      <alignment horizontal="center" wrapText="1"/>
    </xf>
    <xf numFmtId="0" fontId="6" fillId="0" borderId="18" xfId="1" applyFont="1" applyBorder="1" applyAlignment="1">
      <alignment horizontal="center" wrapText="1"/>
    </xf>
    <xf numFmtId="0" fontId="6" fillId="0" borderId="19" xfId="1" applyFont="1" applyBorder="1" applyAlignment="1">
      <alignment horizontal="center" wrapText="1"/>
    </xf>
    <xf numFmtId="0" fontId="22" fillId="0" borderId="0" xfId="22" applyFont="1" applyBorder="1" applyAlignment="1">
      <alignment horizontal="left" wrapText="1"/>
    </xf>
    <xf numFmtId="0" fontId="22" fillId="0" borderId="51" xfId="22" applyFont="1" applyBorder="1" applyAlignment="1">
      <alignment horizontal="center" wrapText="1"/>
    </xf>
    <xf numFmtId="0" fontId="22" fillId="0" borderId="34" xfId="22" applyFont="1" applyBorder="1" applyAlignment="1">
      <alignment horizontal="left" wrapText="1"/>
    </xf>
    <xf numFmtId="0" fontId="22" fillId="0" borderId="52" xfId="22" applyFont="1" applyBorder="1" applyAlignment="1">
      <alignment horizontal="center" wrapText="1"/>
    </xf>
    <xf numFmtId="0" fontId="22" fillId="0" borderId="39" xfId="22" applyFont="1" applyBorder="1" applyAlignment="1">
      <alignment horizontal="center" wrapText="1"/>
    </xf>
    <xf numFmtId="0" fontId="22" fillId="0" borderId="41" xfId="22" applyFont="1" applyBorder="1" applyAlignment="1">
      <alignment horizontal="center" wrapText="1"/>
    </xf>
    <xf numFmtId="0" fontId="8" fillId="2" borderId="3" xfId="0" applyFont="1" applyFill="1" applyBorder="1" applyAlignment="1">
      <alignment horizontal="left" vertical="center"/>
    </xf>
    <xf numFmtId="0" fontId="8" fillId="2" borderId="59" xfId="0" applyFont="1" applyFill="1" applyBorder="1" applyAlignment="1">
      <alignment horizontal="left" vertical="center"/>
    </xf>
    <xf numFmtId="0" fontId="8" fillId="2" borderId="2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/>
    </xf>
    <xf numFmtId="0" fontId="18" fillId="0" borderId="0" xfId="9" applyFont="1" applyBorder="1" applyAlignment="1">
      <alignment horizontal="left" wrapText="1"/>
    </xf>
    <xf numFmtId="0" fontId="18" fillId="0" borderId="38" xfId="9" applyFont="1" applyBorder="1" applyAlignment="1">
      <alignment horizontal="center" wrapText="1"/>
    </xf>
    <xf numFmtId="0" fontId="18" fillId="0" borderId="34" xfId="9" applyFont="1" applyBorder="1" applyAlignment="1">
      <alignment horizontal="left" wrapText="1"/>
    </xf>
    <xf numFmtId="0" fontId="18" fillId="0" borderId="40" xfId="9" applyFont="1" applyBorder="1" applyAlignment="1">
      <alignment horizont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22" fillId="0" borderId="38" xfId="22" applyFont="1" applyBorder="1" applyAlignment="1">
      <alignment horizontal="center" wrapText="1"/>
    </xf>
    <xf numFmtId="0" fontId="22" fillId="0" borderId="40" xfId="22" applyFont="1" applyBorder="1" applyAlignment="1">
      <alignment horizontal="center" wrapText="1"/>
    </xf>
    <xf numFmtId="0" fontId="8" fillId="0" borderId="2" xfId="0" applyFont="1" applyFill="1" applyBorder="1" applyAlignment="1">
      <alignment horizontal="center" vertical="center"/>
    </xf>
    <xf numFmtId="0" fontId="5" fillId="0" borderId="3" xfId="3" applyFont="1" applyFill="1" applyBorder="1" applyAlignment="1">
      <alignment horizontal="left" vertical="center" wrapText="1"/>
    </xf>
    <xf numFmtId="0" fontId="5" fillId="0" borderId="59" xfId="3" applyFont="1" applyFill="1" applyBorder="1" applyAlignment="1">
      <alignment horizontal="left" vertical="center" wrapText="1"/>
    </xf>
    <xf numFmtId="0" fontId="5" fillId="0" borderId="2" xfId="3" applyFont="1" applyFill="1" applyBorder="1" applyAlignment="1">
      <alignment horizontal="center" vertical="center" wrapText="1"/>
    </xf>
    <xf numFmtId="0" fontId="5" fillId="2" borderId="2" xfId="6" applyFont="1" applyFill="1" applyBorder="1" applyAlignment="1">
      <alignment horizontal="center" vertical="center" wrapText="1"/>
    </xf>
    <xf numFmtId="0" fontId="5" fillId="2" borderId="3" xfId="6" applyFont="1" applyFill="1" applyBorder="1" applyAlignment="1">
      <alignment horizontal="center" vertical="center" wrapText="1"/>
    </xf>
    <xf numFmtId="0" fontId="5" fillId="2" borderId="59" xfId="6" applyFont="1" applyFill="1" applyBorder="1" applyAlignment="1">
      <alignment horizontal="center" vertical="center" wrapText="1"/>
    </xf>
    <xf numFmtId="0" fontId="16" fillId="0" borderId="0" xfId="2" applyFont="1" applyBorder="1" applyAlignment="1">
      <alignment horizontal="left" wrapText="1"/>
    </xf>
    <xf numFmtId="0" fontId="16" fillId="0" borderId="38" xfId="2" applyFont="1" applyBorder="1" applyAlignment="1">
      <alignment horizontal="center" wrapText="1"/>
    </xf>
    <xf numFmtId="0" fontId="16" fillId="0" borderId="51" xfId="2" applyFont="1" applyBorder="1" applyAlignment="1">
      <alignment horizontal="center" wrapText="1"/>
    </xf>
    <xf numFmtId="0" fontId="16" fillId="0" borderId="39" xfId="2" applyFont="1" applyBorder="1" applyAlignment="1">
      <alignment horizontal="center" wrapText="1"/>
    </xf>
    <xf numFmtId="0" fontId="16" fillId="0" borderId="34" xfId="2" applyFont="1" applyBorder="1" applyAlignment="1">
      <alignment horizontal="left" wrapText="1"/>
    </xf>
    <xf numFmtId="0" fontId="16" fillId="0" borderId="40" xfId="2" applyFont="1" applyBorder="1" applyAlignment="1">
      <alignment horizontal="center" wrapText="1"/>
    </xf>
    <xf numFmtId="0" fontId="16" fillId="0" borderId="52" xfId="2" applyFont="1" applyBorder="1" applyAlignment="1">
      <alignment horizontal="center" wrapText="1"/>
    </xf>
    <xf numFmtId="0" fontId="16" fillId="0" borderId="41" xfId="2" applyFont="1" applyBorder="1" applyAlignment="1">
      <alignment horizontal="center" wrapText="1"/>
    </xf>
    <xf numFmtId="0" fontId="22" fillId="0" borderId="0" xfId="21" applyFont="1" applyBorder="1" applyAlignment="1">
      <alignment horizontal="left" wrapText="1"/>
    </xf>
    <xf numFmtId="0" fontId="22" fillId="0" borderId="38" xfId="21" applyFont="1" applyBorder="1" applyAlignment="1">
      <alignment horizontal="center" wrapText="1"/>
    </xf>
    <xf numFmtId="0" fontId="22" fillId="0" borderId="51" xfId="21" applyFont="1" applyBorder="1" applyAlignment="1">
      <alignment horizontal="center" wrapText="1"/>
    </xf>
    <xf numFmtId="0" fontId="22" fillId="0" borderId="39" xfId="21" applyFont="1" applyBorder="1" applyAlignment="1">
      <alignment horizontal="center" wrapText="1"/>
    </xf>
    <xf numFmtId="0" fontId="22" fillId="0" borderId="34" xfId="21" applyFont="1" applyBorder="1" applyAlignment="1">
      <alignment horizontal="left" wrapText="1"/>
    </xf>
    <xf numFmtId="0" fontId="22" fillId="0" borderId="40" xfId="21" applyFont="1" applyBorder="1" applyAlignment="1">
      <alignment horizontal="center" wrapText="1"/>
    </xf>
    <xf numFmtId="0" fontId="22" fillId="0" borderId="52" xfId="21" applyFont="1" applyBorder="1" applyAlignment="1">
      <alignment horizontal="center" wrapText="1"/>
    </xf>
    <xf numFmtId="0" fontId="22" fillId="0" borderId="41" xfId="21" applyFont="1" applyBorder="1" applyAlignment="1">
      <alignment horizontal="center" wrapText="1"/>
    </xf>
    <xf numFmtId="0" fontId="3" fillId="0" borderId="0" xfId="19" applyFont="1" applyBorder="1" applyAlignment="1">
      <alignment horizontal="left" vertical="center" wrapText="1"/>
    </xf>
    <xf numFmtId="0" fontId="5" fillId="2" borderId="2" xfId="19" applyFont="1" applyFill="1" applyBorder="1" applyAlignment="1">
      <alignment horizontal="center" vertical="center" wrapText="1"/>
    </xf>
    <xf numFmtId="0" fontId="25" fillId="2" borderId="2" xfId="0" applyFont="1" applyFill="1" applyBorder="1" applyAlignment="1">
      <alignment horizontal="center" vertical="center"/>
    </xf>
    <xf numFmtId="0" fontId="22" fillId="0" borderId="0" xfId="19" applyFont="1" applyBorder="1" applyAlignment="1">
      <alignment horizontal="left" wrapText="1"/>
    </xf>
    <xf numFmtId="0" fontId="22" fillId="0" borderId="51" xfId="19" applyFont="1" applyBorder="1" applyAlignment="1">
      <alignment horizontal="center" wrapText="1"/>
    </xf>
    <xf numFmtId="0" fontId="22" fillId="0" borderId="39" xfId="19" applyFont="1" applyBorder="1" applyAlignment="1">
      <alignment horizontal="center" wrapText="1"/>
    </xf>
    <xf numFmtId="0" fontId="22" fillId="0" borderId="34" xfId="19" applyFont="1" applyBorder="1" applyAlignment="1">
      <alignment horizontal="left" wrapText="1"/>
    </xf>
    <xf numFmtId="0" fontId="22" fillId="0" borderId="52" xfId="19" applyFont="1" applyBorder="1" applyAlignment="1">
      <alignment horizontal="center" wrapText="1"/>
    </xf>
    <xf numFmtId="0" fontId="22" fillId="0" borderId="41" xfId="19" applyFont="1" applyBorder="1" applyAlignment="1">
      <alignment horizontal="center" wrapText="1"/>
    </xf>
    <xf numFmtId="0" fontId="1" fillId="0" borderId="1" xfId="0" applyFont="1" applyBorder="1" applyAlignment="1">
      <alignment horizontal="left" vertical="center" wrapText="1"/>
    </xf>
    <xf numFmtId="0" fontId="8" fillId="2" borderId="2" xfId="1" applyFont="1" applyFill="1" applyBorder="1" applyAlignment="1">
      <alignment horizontal="center" vertical="center" wrapText="1"/>
    </xf>
    <xf numFmtId="0" fontId="8" fillId="2" borderId="3" xfId="1" applyFont="1" applyFill="1" applyBorder="1" applyAlignment="1">
      <alignment horizontal="center" vertical="center" wrapText="1"/>
    </xf>
    <xf numFmtId="0" fontId="8" fillId="2" borderId="2" xfId="2" applyFont="1" applyFill="1" applyBorder="1" applyAlignment="1">
      <alignment horizontal="center" vertical="center" wrapText="1"/>
    </xf>
    <xf numFmtId="0" fontId="8" fillId="2" borderId="3" xfId="2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left" vertical="center"/>
    </xf>
    <xf numFmtId="0" fontId="8" fillId="2" borderId="4" xfId="1" applyFont="1" applyFill="1" applyBorder="1" applyAlignment="1">
      <alignment horizontal="left" vertical="center" wrapText="1"/>
    </xf>
    <xf numFmtId="0" fontId="8" fillId="2" borderId="56" xfId="1" applyFont="1" applyFill="1" applyBorder="1" applyAlignment="1">
      <alignment horizontal="left" vertical="center" wrapText="1"/>
    </xf>
    <xf numFmtId="0" fontId="8" fillId="2" borderId="5" xfId="1" applyFont="1" applyFill="1" applyBorder="1" applyAlignment="1">
      <alignment horizontal="left" vertical="center" wrapText="1"/>
    </xf>
    <xf numFmtId="0" fontId="8" fillId="2" borderId="3" xfId="6" applyFont="1" applyFill="1" applyBorder="1" applyAlignment="1">
      <alignment horizontal="left" vertical="center" wrapText="1"/>
    </xf>
  </cellXfs>
  <cellStyles count="23">
    <cellStyle name="Comma" xfId="4" builtinId="3"/>
    <cellStyle name="Normal" xfId="0" builtinId="0"/>
    <cellStyle name="Normal_Sheet1" xfId="1"/>
    <cellStyle name="Normal_Sheet1_1" xfId="6"/>
    <cellStyle name="Normal_Sheet1_2" xfId="10"/>
    <cellStyle name="Normal_Sheet1_3" xfId="18"/>
    <cellStyle name="Normal_Sheet10" xfId="17"/>
    <cellStyle name="Normal_Sheet2" xfId="2"/>
    <cellStyle name="Normal_Sheet2_1" xfId="22"/>
    <cellStyle name="Normal_Sheet2_2" xfId="9"/>
    <cellStyle name="Normal_Sheet2_3" xfId="21"/>
    <cellStyle name="Normal_Sheet3" xfId="19"/>
    <cellStyle name="Normal_Sheet3_1" xfId="20"/>
    <cellStyle name="Normal_Sheet4" xfId="3"/>
    <cellStyle name="Normal_Sheet5" xfId="8"/>
    <cellStyle name="Normal_Sheet5_1" xfId="12"/>
    <cellStyle name="Normal_Sheet8" xfId="7"/>
    <cellStyle name="Normal_Sheet8_1" xfId="11"/>
    <cellStyle name="Normal_Sheet9_1" xfId="16"/>
    <cellStyle name="Percent" xfId="5" builtinId="5"/>
    <cellStyle name="style1719397174106" xfId="13"/>
    <cellStyle name="style1719397174561" xfId="14"/>
    <cellStyle name="style1719397174593" xfId="1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7115193526865226E-2"/>
          <c:y val="9.2917760279965012E-2"/>
          <c:w val="0.81482944318412354"/>
          <c:h val="0.68048337707786521"/>
        </c:manualLayout>
      </c:layout>
      <c:ofPieChart>
        <c:ofPieType val="bar"/>
        <c:varyColors val="1"/>
        <c:ser>
          <c:idx val="0"/>
          <c:order val="0"/>
          <c:tx>
            <c:strRef>
              <c:f>Sheet1!$I$2</c:f>
              <c:strCache>
                <c:ptCount val="1"/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7DCA-4059-9C69-D2B6B060B72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7DCA-4059-9C69-D2B6B060B72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7DCA-4059-9C69-D2B6B060B72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7DCA-4059-9C69-D2B6B060B72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7DCA-4059-9C69-D2B6B060B727}"/>
              </c:ext>
            </c:extLst>
          </c:dPt>
          <c:dLbls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Sheet1!$A$3:$A$6</c:f>
              <c:strCache>
                <c:ptCount val="4"/>
                <c:pt idx="0">
                  <c:v>Government</c:v>
                </c:pt>
                <c:pt idx="1">
                  <c:v>Semi Government</c:v>
                </c:pt>
                <c:pt idx="2">
                  <c:v>Private</c:v>
                </c:pt>
                <c:pt idx="3">
                  <c:v>NGO</c:v>
                </c:pt>
              </c:strCache>
            </c:strRef>
          </c:cat>
          <c:val>
            <c:numRef>
              <c:f>Sheet1!$I$3:$I$6</c:f>
              <c:numCache>
                <c:formatCode>0.00%</c:formatCode>
                <c:ptCount val="4"/>
                <c:pt idx="0">
                  <c:v>1.3784272371196143E-3</c:v>
                </c:pt>
                <c:pt idx="1">
                  <c:v>5.702018680325399E-3</c:v>
                </c:pt>
                <c:pt idx="2">
                  <c:v>0.99286682735763787</c:v>
                </c:pt>
                <c:pt idx="3">
                  <c:v>5.2726724917143718E-5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7DCA-4059-9C69-D2B6B060B72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gapWidth val="100"/>
        <c:splitType val="percent"/>
        <c:splitPos val="10"/>
        <c:secondPieSize val="75"/>
        <c:serLines>
          <c:spPr>
            <a:ln w="9525" cap="flat" cmpd="sng" algn="ctr">
              <a:solidFill>
                <a:schemeClr val="tx1"/>
              </a:solidFill>
              <a:round/>
            </a:ln>
            <a:effectLst/>
          </c:spPr>
        </c:serLines>
      </c:ofPie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9207895974329176"/>
          <c:y val="0.10787953795379537"/>
          <c:w val="0.45014469876348329"/>
          <c:h val="0.70585808580858089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298D-46A8-98A2-47AEACAE8F7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298D-46A8-98A2-47AEACAE8F7C}"/>
              </c:ext>
            </c:extLst>
          </c:dPt>
          <c:dLbls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[1]Sheet1!$A$33:$A$34</c:f>
              <c:strCache>
                <c:ptCount val="2"/>
                <c:pt idx="0">
                  <c:v>Formal</c:v>
                </c:pt>
                <c:pt idx="1">
                  <c:v>Informal</c:v>
                </c:pt>
              </c:strCache>
            </c:strRef>
          </c:cat>
          <c:val>
            <c:numRef>
              <c:f>Sheet1!$I$33:$I$34</c:f>
              <c:numCache>
                <c:formatCode>0.0%</c:formatCode>
                <c:ptCount val="2"/>
                <c:pt idx="0">
                  <c:v>9.7514311539620369E-2</c:v>
                </c:pt>
                <c:pt idx="1">
                  <c:v>0.90248568846037969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298D-46A8-98A2-47AEACAE8F7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22393692501144538"/>
          <c:y val="0.90068020581585717"/>
          <c:w val="0.4182624961935007"/>
          <c:h val="9.797952236168497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8935457215350063"/>
          <c:y val="0.10850564946633867"/>
          <c:w val="0.45522759298228088"/>
          <c:h val="0.72025344385276813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85AC-4F7E-9E61-62649065735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85AC-4F7E-9E61-62649065735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85AC-4F7E-9E61-626490657350}"/>
              </c:ext>
            </c:extLst>
          </c:dPt>
          <c:dLbls>
            <c:dLbl>
              <c:idx val="0"/>
              <c:layout>
                <c:manualLayout>
                  <c:x val="-2.8624588521540002E-3"/>
                  <c:y val="4.1928721174004195E-3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</c:dLbl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[1]Sheet1!$A$58:$A$60</c:f>
              <c:strCache>
                <c:ptCount val="3"/>
                <c:pt idx="0">
                  <c:v>Male</c:v>
                </c:pt>
                <c:pt idx="1">
                  <c:v>Female</c:v>
                </c:pt>
                <c:pt idx="2">
                  <c:v>Not Specified</c:v>
                </c:pt>
              </c:strCache>
            </c:strRef>
          </c:cat>
          <c:val>
            <c:numRef>
              <c:f>Sheet1!$I$58:$I$60</c:f>
              <c:numCache>
                <c:formatCode>0.0%</c:formatCode>
                <c:ptCount val="3"/>
                <c:pt idx="0">
                  <c:v>0.59622627297378727</c:v>
                </c:pt>
                <c:pt idx="1">
                  <c:v>0.14239981922265743</c:v>
                </c:pt>
                <c:pt idx="2">
                  <c:v>0.26137390780355529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6-85AC-4F7E-9E61-62649065735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8.5853413842698692E-2"/>
          <c:y val="0.88765086923733028"/>
          <c:w val="0.66302313915756561"/>
          <c:h val="0.1113565634910441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31E3-43BC-92DA-B2A329AB219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31E3-43BC-92DA-B2A329AB219F}"/>
              </c:ext>
            </c:extLst>
          </c:dPt>
          <c:dLbls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[1]Sheet1!$A$84:$A$85</c:f>
              <c:strCache>
                <c:ptCount val="2"/>
                <c:pt idx="0">
                  <c:v>Experience Required</c:v>
                </c:pt>
                <c:pt idx="1">
                  <c:v>Not Specified</c:v>
                </c:pt>
              </c:strCache>
              <c:extLst xmlns:c16r2="http://schemas.microsoft.com/office/drawing/2015/06/chart">
                <c:ext xmlns:c15="http://schemas.microsoft.com/office/drawing/2012/chart" uri="{02D57815-91ED-43cb-92C2-25804820EDAC}">
                  <c15:fullRef>
                    <c15:sqref>[1]Sheet1!$A$84:$A$85</c15:sqref>
                  </c15:fullRef>
                </c:ext>
              </c:extLst>
            </c:strRef>
          </c:cat>
          <c:val>
            <c:numRef>
              <c:f>Sheet1!$I$84:$I$85</c:f>
              <c:numCache>
                <c:formatCode>0.0%</c:formatCode>
                <c:ptCount val="2"/>
                <c:pt idx="0">
                  <c:v>0.15505423320277192</c:v>
                </c:pt>
                <c:pt idx="1">
                  <c:v>0.8449457667972281</c:v>
                </c:pt>
              </c:numCache>
              <c:extLst xmlns:c16r2="http://schemas.microsoft.com/office/drawing/2015/06/chart">
                <c:ext xmlns:c15="http://schemas.microsoft.com/office/drawing/2012/chart" uri="{02D57815-91ED-43cb-92C2-25804820EDAC}">
                  <c15:fullRef>
                    <c15:sqref>Sheet1!$I$84:$I$86</c15:sqref>
                  </c15:fullRef>
                </c:ext>
              </c:extLst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31E3-43BC-92DA-B2A329AB219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7413082980012107E-2"/>
          <c:y val="0.17361111111111113"/>
          <c:w val="0.58307171076592379"/>
          <c:h val="0.71296296296296291"/>
        </c:manualLayout>
      </c:layout>
      <c:ofPieChart>
        <c:ofPieType val="bar"/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0866-4973-89C1-2B5E9EA5CD7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0866-4973-89C1-2B5E9EA5CD7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0866-4973-89C1-2B5E9EA5CD7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0866-4973-89C1-2B5E9EA5CD7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0866-4973-89C1-2B5E9EA5CD79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B-0866-4973-89C1-2B5E9EA5CD79}"/>
              </c:ext>
            </c:extLst>
          </c:dPt>
          <c:dLbls>
            <c:dLbl>
              <c:idx val="0"/>
              <c:numFmt formatCode="0.0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1"/>
              <c:numFmt formatCode="0.0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0"/>
              <c:showSerName val="0"/>
              <c:showPercent val="1"/>
              <c:showBubbleSize val="0"/>
            </c:dLbl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Sheet1!$A$107:$A$111</c:f>
              <c:strCache>
                <c:ptCount val="5"/>
                <c:pt idx="0">
                  <c:v>Degree &amp; Above</c:v>
                </c:pt>
                <c:pt idx="1">
                  <c:v>GCE A/L</c:v>
                </c:pt>
                <c:pt idx="2">
                  <c:v>GCE O/L</c:v>
                </c:pt>
                <c:pt idx="3">
                  <c:v>Below GCE O/L</c:v>
                </c:pt>
                <c:pt idx="4">
                  <c:v>Not Specified</c:v>
                </c:pt>
              </c:strCache>
            </c:strRef>
          </c:cat>
          <c:val>
            <c:numRef>
              <c:f>Sheet1!$I$107:$I$111</c:f>
              <c:numCache>
                <c:formatCode>0.00%</c:formatCode>
                <c:ptCount val="5"/>
                <c:pt idx="0">
                  <c:v>5.9807170834588735E-3</c:v>
                </c:pt>
                <c:pt idx="1">
                  <c:v>9.0238023501054542E-3</c:v>
                </c:pt>
                <c:pt idx="2">
                  <c:v>8.6019885507683039E-3</c:v>
                </c:pt>
                <c:pt idx="3">
                  <c:v>3.1636034950286232E-4</c:v>
                </c:pt>
                <c:pt idx="4">
                  <c:v>0.9760771316661645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C-0866-4973-89C1-2B5E9EA5CD7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gapWidth val="100"/>
        <c:splitType val="percent"/>
        <c:splitPos val="10"/>
        <c:secondPieSize val="75"/>
        <c:serLines>
          <c:spPr>
            <a:ln w="9525" cap="flat" cmpd="sng" algn="ctr">
              <a:solidFill>
                <a:schemeClr val="tx1">
                  <a:lumMod val="35000"/>
                  <a:lumOff val="65000"/>
                </a:schemeClr>
              </a:solidFill>
              <a:round/>
            </a:ln>
            <a:effectLst/>
          </c:spPr>
        </c:serLines>
      </c:of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4442275181038986"/>
          <c:y val="0.32320465150189565"/>
          <c:w val="0.23891066598247104"/>
          <c:h val="0.4508129192184310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Sheet2!$C$68</c:f>
              <c:strCache>
                <c:ptCount val="1"/>
                <c:pt idx="0">
                  <c:v>Male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Sheet2!$B$69:$B$70</c:f>
              <c:strCache>
                <c:ptCount val="2"/>
                <c:pt idx="0">
                  <c:v>Formal</c:v>
                </c:pt>
                <c:pt idx="1">
                  <c:v>Informal</c:v>
                </c:pt>
              </c:strCache>
            </c:strRef>
          </c:cat>
          <c:val>
            <c:numRef>
              <c:f>Sheet2!$C$69:$C$70</c:f>
              <c:numCache>
                <c:formatCode>0.0%</c:formatCode>
                <c:ptCount val="2"/>
                <c:pt idx="0">
                  <c:v>0.56805190792522786</c:v>
                </c:pt>
                <c:pt idx="1">
                  <c:v>0.59927053599746272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F31-4EF1-93AC-A0FA07598532}"/>
            </c:ext>
          </c:extLst>
        </c:ser>
        <c:ser>
          <c:idx val="1"/>
          <c:order val="1"/>
          <c:tx>
            <c:strRef>
              <c:f>Sheet2!$D$68</c:f>
              <c:strCache>
                <c:ptCount val="1"/>
                <c:pt idx="0">
                  <c:v>Female</c:v>
                </c:pt>
              </c:strCache>
            </c:strRef>
          </c:tx>
          <c:invertIfNegative val="0"/>
          <c:dLbls>
            <c:dLbl>
              <c:idx val="0"/>
              <c:layout>
                <c:manualLayout>
                  <c:x val="-4.6216060080878103E-3"/>
                  <c:y val="3.9851268591426072E-3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F31-4EF1-93AC-A0FA0759853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Sheet2!$B$69:$B$70</c:f>
              <c:strCache>
                <c:ptCount val="2"/>
                <c:pt idx="0">
                  <c:v>Formal</c:v>
                </c:pt>
                <c:pt idx="1">
                  <c:v>Informal</c:v>
                </c:pt>
              </c:strCache>
            </c:strRef>
          </c:cat>
          <c:val>
            <c:numRef>
              <c:f>Sheet2!$D$69:$D$70</c:f>
              <c:numCache>
                <c:formatCode>0.0%</c:formatCode>
                <c:ptCount val="2"/>
                <c:pt idx="0">
                  <c:v>4.549667851073691E-2</c:v>
                </c:pt>
                <c:pt idx="1">
                  <c:v>0.15287028227085317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AF31-4EF1-93AC-A0FA07598532}"/>
            </c:ext>
          </c:extLst>
        </c:ser>
        <c:ser>
          <c:idx val="2"/>
          <c:order val="2"/>
          <c:tx>
            <c:strRef>
              <c:f>Sheet2!$E$68</c:f>
              <c:strCache>
                <c:ptCount val="1"/>
                <c:pt idx="0">
                  <c:v>Not Specified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Sheet2!$B$69:$B$70</c:f>
              <c:strCache>
                <c:ptCount val="2"/>
                <c:pt idx="0">
                  <c:v>Formal</c:v>
                </c:pt>
                <c:pt idx="1">
                  <c:v>Informal</c:v>
                </c:pt>
              </c:strCache>
            </c:strRef>
          </c:cat>
          <c:val>
            <c:numRef>
              <c:f>Sheet2!$E$69:$E$70</c:f>
              <c:numCache>
                <c:formatCode>0.0%</c:formatCode>
                <c:ptCount val="2"/>
                <c:pt idx="0">
                  <c:v>0.38645141356403523</c:v>
                </c:pt>
                <c:pt idx="1">
                  <c:v>0.24785918173168411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AF31-4EF1-93AC-A0FA07598532}"/>
            </c:ext>
          </c:extLst>
        </c:ser>
        <c:dLbls>
          <c:dLblPos val="inBase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95873408"/>
        <c:axId val="195760896"/>
      </c:barChart>
      <c:catAx>
        <c:axId val="19587340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>
                    <a:solidFill>
                      <a:sysClr val="windowText" lastClr="000000"/>
                    </a:solidFill>
                  </a:rPr>
                  <a:t> Advertisement Classification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760896"/>
        <c:crosses val="autoZero"/>
        <c:auto val="1"/>
        <c:lblAlgn val="ctr"/>
        <c:lblOffset val="100"/>
        <c:noMultiLvlLbl val="0"/>
      </c:catAx>
      <c:valAx>
        <c:axId val="19576089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>
                    <a:solidFill>
                      <a:sysClr val="windowText" lastClr="000000"/>
                    </a:solidFill>
                  </a:rPr>
                  <a:t>Percentage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0.0%" sourceLinked="1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8734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56349620931529898"/>
          <c:y val="8.6005797101449288E-2"/>
          <c:w val="0.40398346548144898"/>
          <c:h val="0.88848695652173915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Sheet2!$C$96</c:f>
              <c:strCache>
                <c:ptCount val="1"/>
                <c:pt idx="0">
                  <c:v>Formal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Sheet2!$B$97:$B$117</c:f>
              <c:strCache>
                <c:ptCount val="21"/>
                <c:pt idx="0">
                  <c:v>Accommodation and Food Service Activities</c:v>
                </c:pt>
                <c:pt idx="1">
                  <c:v>Other Service Activities</c:v>
                </c:pt>
                <c:pt idx="2">
                  <c:v>Manufacturing</c:v>
                </c:pt>
                <c:pt idx="3">
                  <c:v>Wholesale and Retail Trade; Repair of Motor Vehicles and Motorcycles</c:v>
                </c:pt>
                <c:pt idx="4">
                  <c:v>Construction</c:v>
                </c:pt>
                <c:pt idx="5">
                  <c:v>Activities of Households as Employers</c:v>
                </c:pt>
                <c:pt idx="6">
                  <c:v>Administrative and Support Service Activities</c:v>
                </c:pt>
                <c:pt idx="7">
                  <c:v>Agriculture, Forestry and Fishing</c:v>
                </c:pt>
                <c:pt idx="8">
                  <c:v>Human Health and Social Work Activities</c:v>
                </c:pt>
                <c:pt idx="9">
                  <c:v>Education</c:v>
                </c:pt>
                <c:pt idx="10">
                  <c:v>Transportation and Storage</c:v>
                </c:pt>
                <c:pt idx="11">
                  <c:v>Public administration and Defence; Compulsory Social Security</c:v>
                </c:pt>
                <c:pt idx="12">
                  <c:v>Professional, Scientific and Technical Activities</c:v>
                </c:pt>
                <c:pt idx="13">
                  <c:v>Financial and Insurance Activities</c:v>
                </c:pt>
                <c:pt idx="14">
                  <c:v>Information and Communication</c:v>
                </c:pt>
                <c:pt idx="15">
                  <c:v>Arts, Entertainment and Recreation</c:v>
                </c:pt>
                <c:pt idx="16">
                  <c:v>Electricity, Gas,Steam and Air Conditioning Supply</c:v>
                </c:pt>
                <c:pt idx="17">
                  <c:v>Water Supply; Sewerage, Saste Sanagement and Remediation Activities</c:v>
                </c:pt>
                <c:pt idx="18">
                  <c:v>Mining and Quarrying</c:v>
                </c:pt>
                <c:pt idx="19">
                  <c:v>Real Estate Activities</c:v>
                </c:pt>
                <c:pt idx="20">
                  <c:v>Activities of Extraterritorial Organizations and Bodies</c:v>
                </c:pt>
              </c:strCache>
            </c:strRef>
          </c:cat>
          <c:val>
            <c:numRef>
              <c:f>Sheet2!$C$97:$C$117</c:f>
              <c:numCache>
                <c:formatCode>0.0%</c:formatCode>
                <c:ptCount val="21"/>
                <c:pt idx="0">
                  <c:v>4.3737083988772706E-2</c:v>
                </c:pt>
                <c:pt idx="1">
                  <c:v>8.9897352782279866E-2</c:v>
                </c:pt>
                <c:pt idx="2">
                  <c:v>0.1663268977095575</c:v>
                </c:pt>
                <c:pt idx="3">
                  <c:v>0.11925779138893892</c:v>
                </c:pt>
                <c:pt idx="4">
                  <c:v>8.1305841924398645E-2</c:v>
                </c:pt>
                <c:pt idx="5">
                  <c:v>5.7253760310528867E-3</c:v>
                </c:pt>
                <c:pt idx="6">
                  <c:v>0.1356162830252863</c:v>
                </c:pt>
                <c:pt idx="7">
                  <c:v>3.6508524833209786E-2</c:v>
                </c:pt>
                <c:pt idx="8">
                  <c:v>0.15600522193211488</c:v>
                </c:pt>
                <c:pt idx="9">
                  <c:v>0.3875739644970414</c:v>
                </c:pt>
                <c:pt idx="10">
                  <c:v>0.16666666666666663</c:v>
                </c:pt>
                <c:pt idx="11">
                  <c:v>0.42712294043092525</c:v>
                </c:pt>
                <c:pt idx="12">
                  <c:v>0.16174183514774496</c:v>
                </c:pt>
                <c:pt idx="13">
                  <c:v>0.34631147540983614</c:v>
                </c:pt>
                <c:pt idx="14">
                  <c:v>0.34218289085545722</c:v>
                </c:pt>
                <c:pt idx="15">
                  <c:v>0.49748743718592964</c:v>
                </c:pt>
                <c:pt idx="16">
                  <c:v>0.37062937062937062</c:v>
                </c:pt>
                <c:pt idx="17">
                  <c:v>0.29078014184397161</c:v>
                </c:pt>
                <c:pt idx="18">
                  <c:v>0.45323741007194246</c:v>
                </c:pt>
                <c:pt idx="19">
                  <c:v>0.39568345323741005</c:v>
                </c:pt>
                <c:pt idx="20">
                  <c:v>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D9A-41C5-BEF9-FEB80852E4B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95771392"/>
        <c:axId val="195798912"/>
      </c:barChart>
      <c:catAx>
        <c:axId val="19577139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798912"/>
        <c:crosses val="autoZero"/>
        <c:auto val="1"/>
        <c:lblAlgn val="ctr"/>
        <c:lblOffset val="100"/>
        <c:noMultiLvlLbl val="0"/>
      </c:catAx>
      <c:valAx>
        <c:axId val="195798912"/>
        <c:scaling>
          <c:orientation val="minMax"/>
        </c:scaling>
        <c:delete val="1"/>
        <c:axPos val="b"/>
        <c:numFmt formatCode="0.0%" sourceLinked="1"/>
        <c:majorTickMark val="none"/>
        <c:minorTickMark val="none"/>
        <c:tickLblPos val="nextTo"/>
        <c:crossAx val="1957713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Sheet2!$D$96</c:f>
              <c:strCache>
                <c:ptCount val="1"/>
                <c:pt idx="0">
                  <c:v>Informal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Sheet2!$B$97:$B$117</c:f>
              <c:strCache>
                <c:ptCount val="21"/>
                <c:pt idx="0">
                  <c:v>Accommodation and Food Service Activities</c:v>
                </c:pt>
                <c:pt idx="1">
                  <c:v>Other Service Activities</c:v>
                </c:pt>
                <c:pt idx="2">
                  <c:v>Manufacturing</c:v>
                </c:pt>
                <c:pt idx="3">
                  <c:v>Wholesale and Retail Trade; Repair of Motor Vehicles and Motorcycles</c:v>
                </c:pt>
                <c:pt idx="4">
                  <c:v>Construction</c:v>
                </c:pt>
                <c:pt idx="5">
                  <c:v>Activities of Households as Employers</c:v>
                </c:pt>
                <c:pt idx="6">
                  <c:v>Administrative and Support Service Activities</c:v>
                </c:pt>
                <c:pt idx="7">
                  <c:v>Agriculture, Forestry and Fishing</c:v>
                </c:pt>
                <c:pt idx="8">
                  <c:v>Human Health and Social Work Activities</c:v>
                </c:pt>
                <c:pt idx="9">
                  <c:v>Education</c:v>
                </c:pt>
                <c:pt idx="10">
                  <c:v>Transportation and Storage</c:v>
                </c:pt>
                <c:pt idx="11">
                  <c:v>Public administration and Defence; Compulsory Social Security</c:v>
                </c:pt>
                <c:pt idx="12">
                  <c:v>Professional, Scientific and Technical Activities</c:v>
                </c:pt>
                <c:pt idx="13">
                  <c:v>Financial and Insurance Activities</c:v>
                </c:pt>
                <c:pt idx="14">
                  <c:v>Information and Communication</c:v>
                </c:pt>
                <c:pt idx="15">
                  <c:v>Arts, Entertainment and Recreation</c:v>
                </c:pt>
                <c:pt idx="16">
                  <c:v>Electricity, Gas,Steam and Air Conditioning Supply</c:v>
                </c:pt>
                <c:pt idx="17">
                  <c:v>Water Supply; Sewerage, Saste Sanagement and Remediation Activities</c:v>
                </c:pt>
                <c:pt idx="18">
                  <c:v>Mining and Quarrying</c:v>
                </c:pt>
                <c:pt idx="19">
                  <c:v>Real Estate Activities</c:v>
                </c:pt>
                <c:pt idx="20">
                  <c:v>Activities of Extraterritorial Organizations and Bodies</c:v>
                </c:pt>
              </c:strCache>
            </c:strRef>
          </c:cat>
          <c:val>
            <c:numRef>
              <c:f>Sheet2!$D$97:$D$117</c:f>
              <c:numCache>
                <c:formatCode>0.0%</c:formatCode>
                <c:ptCount val="21"/>
                <c:pt idx="0">
                  <c:v>0.95626291601122726</c:v>
                </c:pt>
                <c:pt idx="1">
                  <c:v>0.91010264721772016</c:v>
                </c:pt>
                <c:pt idx="2">
                  <c:v>0.83367310229044245</c:v>
                </c:pt>
                <c:pt idx="3">
                  <c:v>0.88074220861106112</c:v>
                </c:pt>
                <c:pt idx="4">
                  <c:v>0.9186941580756014</c:v>
                </c:pt>
                <c:pt idx="5">
                  <c:v>0.99427462396894706</c:v>
                </c:pt>
                <c:pt idx="6">
                  <c:v>0.86438371697471372</c:v>
                </c:pt>
                <c:pt idx="7">
                  <c:v>0.96349147516679023</c:v>
                </c:pt>
                <c:pt idx="8">
                  <c:v>0.84399477806788514</c:v>
                </c:pt>
                <c:pt idx="9">
                  <c:v>0.6124260355029586</c:v>
                </c:pt>
                <c:pt idx="10">
                  <c:v>0.83333333333333348</c:v>
                </c:pt>
                <c:pt idx="11">
                  <c:v>0.57287705956907475</c:v>
                </c:pt>
                <c:pt idx="12">
                  <c:v>0.83825816485225502</c:v>
                </c:pt>
                <c:pt idx="13">
                  <c:v>0.65368852459016391</c:v>
                </c:pt>
                <c:pt idx="14">
                  <c:v>0.65781710914454261</c:v>
                </c:pt>
                <c:pt idx="15">
                  <c:v>0.50251256281407031</c:v>
                </c:pt>
                <c:pt idx="16">
                  <c:v>0.62937062937062938</c:v>
                </c:pt>
                <c:pt idx="17">
                  <c:v>0.70921985815602839</c:v>
                </c:pt>
                <c:pt idx="18">
                  <c:v>0.5467625899280576</c:v>
                </c:pt>
                <c:pt idx="19">
                  <c:v>0.60431654676258995</c:v>
                </c:pt>
                <c:pt idx="2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C9C-46D2-9F92-C2DB344454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95967232"/>
        <c:axId val="195981312"/>
      </c:barChart>
      <c:catAx>
        <c:axId val="19596723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981312"/>
        <c:crosses val="autoZero"/>
        <c:auto val="1"/>
        <c:lblAlgn val="ctr"/>
        <c:lblOffset val="100"/>
        <c:noMultiLvlLbl val="0"/>
      </c:catAx>
      <c:valAx>
        <c:axId val="195981312"/>
        <c:scaling>
          <c:orientation val="minMax"/>
        </c:scaling>
        <c:delete val="1"/>
        <c:axPos val="b"/>
        <c:numFmt formatCode="0.0%" sourceLinked="1"/>
        <c:majorTickMark val="none"/>
        <c:minorTickMark val="none"/>
        <c:tickLblPos val="nextTo"/>
        <c:crossAx val="1959672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AEF1-403F-8A8F-D567B4DEC2B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AEF1-403F-8A8F-D567B4DEC2B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AEF1-403F-8A8F-D567B4DEC2B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Sheet2!$B$189:$B$191</c:f>
              <c:strCache>
                <c:ptCount val="3"/>
                <c:pt idx="0">
                  <c:v>Male</c:v>
                </c:pt>
                <c:pt idx="1">
                  <c:v>Female</c:v>
                </c:pt>
                <c:pt idx="2">
                  <c:v>Not Specified</c:v>
                </c:pt>
              </c:strCache>
            </c:strRef>
          </c:cat>
          <c:val>
            <c:numRef>
              <c:f>Sheet2!$J$189:$J$191</c:f>
              <c:numCache>
                <c:formatCode>0.0</c:formatCode>
                <c:ptCount val="3"/>
                <c:pt idx="0">
                  <c:v>77.73621569103716</c:v>
                </c:pt>
                <c:pt idx="1">
                  <c:v>7.2577119261598249</c:v>
                </c:pt>
                <c:pt idx="2">
                  <c:v>15.006072382803012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A91-4EAA-BED3-E7D29FD3AB9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Sheet2!$B$220:$B$224</c:f>
              <c:strCache>
                <c:ptCount val="1"/>
                <c:pt idx="0">
                  <c:v>Degree &amp; Above GCE A/L GCE O/L Below GCE O/L Not Specified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Sheet2!$B$220:$B$224</c:f>
              <c:strCache>
                <c:ptCount val="5"/>
                <c:pt idx="0">
                  <c:v>Degree &amp; Above</c:v>
                </c:pt>
                <c:pt idx="1">
                  <c:v>GCE A/L</c:v>
                </c:pt>
                <c:pt idx="2">
                  <c:v>GCE O/L</c:v>
                </c:pt>
                <c:pt idx="3">
                  <c:v>Below GCE O/L</c:v>
                </c:pt>
                <c:pt idx="4">
                  <c:v>Not Specified</c:v>
                </c:pt>
              </c:strCache>
            </c:strRef>
          </c:cat>
          <c:val>
            <c:numRef>
              <c:f>Sheet2!$J$220:$J$224</c:f>
              <c:numCache>
                <c:formatCode>0.0</c:formatCode>
                <c:ptCount val="5"/>
                <c:pt idx="0">
                  <c:v>2.5261112460529511</c:v>
                </c:pt>
                <c:pt idx="1">
                  <c:v>1.6759776536312849</c:v>
                </c:pt>
                <c:pt idx="2">
                  <c:v>1.7099829973281515</c:v>
                </c:pt>
                <c:pt idx="3">
                  <c:v>3.8863249939276173E-2</c:v>
                </c:pt>
                <c:pt idx="4">
                  <c:v>94.049064853048336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EA1-430B-82EF-08483D1860C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95916544"/>
        <c:axId val="195923968"/>
      </c:barChart>
      <c:catAx>
        <c:axId val="19591654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Educational Attainment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923968"/>
        <c:crosses val="autoZero"/>
        <c:auto val="1"/>
        <c:lblAlgn val="ctr"/>
        <c:lblOffset val="100"/>
        <c:noMultiLvlLbl val="0"/>
      </c:catAx>
      <c:valAx>
        <c:axId val="19592396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Percentage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0.0" sourceLinked="1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9165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Sheet2!$I$4:$I$13</c:f>
              <c:numCache>
                <c:formatCode>0.0</c:formatCode>
                <c:ptCount val="10"/>
                <c:pt idx="0">
                  <c:v>27.644621874058451</c:v>
                </c:pt>
                <c:pt idx="1">
                  <c:v>23.939439590238024</c:v>
                </c:pt>
                <c:pt idx="2">
                  <c:v>21.424374811690271</c:v>
                </c:pt>
                <c:pt idx="3">
                  <c:v>12.191925278698402</c:v>
                </c:pt>
                <c:pt idx="4">
                  <c:v>6.3927387767399813</c:v>
                </c:pt>
                <c:pt idx="5">
                  <c:v>4.3454353721000301</c:v>
                </c:pt>
                <c:pt idx="6">
                  <c:v>1.6337752335040676</c:v>
                </c:pt>
                <c:pt idx="7">
                  <c:v>1.6277493220849655</c:v>
                </c:pt>
                <c:pt idx="8">
                  <c:v>0.79993974088580899</c:v>
                </c:pt>
                <c:pt idx="9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6D3-493E-8912-F77DB13F7E2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95935616"/>
        <c:axId val="195947136"/>
      </c:barChart>
      <c:catAx>
        <c:axId val="19593561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Main Occupational Category No. (Refer to the table 1.6)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947136"/>
        <c:crosses val="autoZero"/>
        <c:auto val="1"/>
        <c:lblAlgn val="ctr"/>
        <c:lblOffset val="100"/>
        <c:noMultiLvlLbl val="0"/>
      </c:catAx>
      <c:valAx>
        <c:axId val="19594713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Percentage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0.0" sourceLinked="1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9356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445603674540683"/>
          <c:y val="5.0925925925925923E-2"/>
          <c:w val="0.82498840769903758"/>
          <c:h val="0.4023202739901414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Sheet3!$A$4</c:f>
              <c:strCache>
                <c:ptCount val="1"/>
                <c:pt idx="0">
                  <c:v>Accommodation and Food Service Activities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[2]Sheet3!$B$3:$K$3</c:f>
              <c:strCache>
                <c:ptCount val="10"/>
                <c:pt idx="0">
                  <c:v>Armed Forces</c:v>
                </c:pt>
                <c:pt idx="1">
                  <c:v>Legislators, Senior Officials And Managers</c:v>
                </c:pt>
                <c:pt idx="2">
                  <c:v>Professionals</c:v>
                </c:pt>
                <c:pt idx="3">
                  <c:v>Technicians &amp; Associate professionals</c:v>
                </c:pt>
                <c:pt idx="4">
                  <c:v>Clerks</c:v>
                </c:pt>
                <c:pt idx="5">
                  <c:v>Service Workers &amp; Shop &amp; Market Sales Workers</c:v>
                </c:pt>
                <c:pt idx="6">
                  <c:v>Skilled Agricultural &amp; Fishery Workers</c:v>
                </c:pt>
                <c:pt idx="7">
                  <c:v>Craft &amp; Related Workers</c:v>
                </c:pt>
                <c:pt idx="8">
                  <c:v>Plant and Machine Operators and Assemblers</c:v>
                </c:pt>
                <c:pt idx="9">
                  <c:v>Elementary Occupations</c:v>
                </c:pt>
              </c:strCache>
            </c:strRef>
          </c:cat>
          <c:val>
            <c:numRef>
              <c:f>Sheet3!$B$4:$K$4</c:f>
              <c:numCache>
                <c:formatCode>###0.0%</c:formatCode>
                <c:ptCount val="10"/>
                <c:pt idx="0">
                  <c:v>0</c:v>
                </c:pt>
                <c:pt idx="1">
                  <c:v>1.8228925696307949E-2</c:v>
                </c:pt>
                <c:pt idx="2">
                  <c:v>1.6964313253755282E-3</c:v>
                </c:pt>
                <c:pt idx="3">
                  <c:v>1.2615280219610746E-2</c:v>
                </c:pt>
                <c:pt idx="4">
                  <c:v>2.3194842848770859E-2</c:v>
                </c:pt>
                <c:pt idx="5">
                  <c:v>0.47358193763301565</c:v>
                </c:pt>
                <c:pt idx="6">
                  <c:v>2.1899386200302275E-3</c:v>
                </c:pt>
                <c:pt idx="7">
                  <c:v>0.21541593411677618</c:v>
                </c:pt>
                <c:pt idx="8">
                  <c:v>1.8074704666728354E-2</c:v>
                </c:pt>
                <c:pt idx="9">
                  <c:v>0.23500200487338455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865-4007-B3AA-FB0932B5E44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97210880"/>
        <c:axId val="197508096"/>
      </c:barChart>
      <c:catAx>
        <c:axId val="19721088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Main Occupational Category</a:t>
                </a:r>
              </a:p>
            </c:rich>
          </c:tx>
          <c:layout>
            <c:manualLayout>
              <c:xMode val="edge"/>
              <c:yMode val="edge"/>
              <c:x val="0.39387328249110293"/>
              <c:y val="0.93562382898484719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508096"/>
        <c:crosses val="autoZero"/>
        <c:auto val="1"/>
        <c:lblAlgn val="ctr"/>
        <c:lblOffset val="100"/>
        <c:noMultiLvlLbl val="0"/>
      </c:catAx>
      <c:valAx>
        <c:axId val="19750809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Percentage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###0.0%" sourceLinked="1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2108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b="1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Sheet3!$A$5</c:f>
              <c:strCache>
                <c:ptCount val="1"/>
                <c:pt idx="0">
                  <c:v>Other Service Activities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Sheet3!$B$3:$K$3</c:f>
              <c:strCache>
                <c:ptCount val="10"/>
                <c:pt idx="0">
                  <c:v>Armed Forces</c:v>
                </c:pt>
                <c:pt idx="1">
                  <c:v>Legislators, Senior Officials And Managers</c:v>
                </c:pt>
                <c:pt idx="2">
                  <c:v>Professionals</c:v>
                </c:pt>
                <c:pt idx="3">
                  <c:v>Technicians &amp; Associate professionals</c:v>
                </c:pt>
                <c:pt idx="4">
                  <c:v>Clerks</c:v>
                </c:pt>
                <c:pt idx="5">
                  <c:v>Service Workers &amp; Shop &amp; Market Sales Workers</c:v>
                </c:pt>
                <c:pt idx="6">
                  <c:v>Skilled Agricultural &amp; Fishery Workers</c:v>
                </c:pt>
                <c:pt idx="7">
                  <c:v>Craft &amp; Related Workers</c:v>
                </c:pt>
                <c:pt idx="8">
                  <c:v>Plant and Machine Operators and Assemblers</c:v>
                </c:pt>
                <c:pt idx="9">
                  <c:v>Elementary Occupations</c:v>
                </c:pt>
              </c:strCache>
            </c:strRef>
          </c:cat>
          <c:val>
            <c:numRef>
              <c:f>Sheet3!$B$5:$K$5</c:f>
              <c:numCache>
                <c:formatCode>###0.0%</c:formatCode>
                <c:ptCount val="10"/>
                <c:pt idx="0">
                  <c:v>0</c:v>
                </c:pt>
                <c:pt idx="1">
                  <c:v>2.5121555915721232E-2</c:v>
                </c:pt>
                <c:pt idx="2">
                  <c:v>2.8092922744462453E-2</c:v>
                </c:pt>
                <c:pt idx="3">
                  <c:v>0.13025391680172879</c:v>
                </c:pt>
                <c:pt idx="4">
                  <c:v>0.11075094543490005</c:v>
                </c:pt>
                <c:pt idx="5">
                  <c:v>0.11982712047541869</c:v>
                </c:pt>
                <c:pt idx="6">
                  <c:v>1.4046461372231229E-3</c:v>
                </c:pt>
                <c:pt idx="7">
                  <c:v>9.9621826039978392E-2</c:v>
                </c:pt>
                <c:pt idx="8">
                  <c:v>0.26531604538087522</c:v>
                </c:pt>
                <c:pt idx="9">
                  <c:v>0.21961102106969205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09B-4AED-8C83-6C920D64EBD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97252608"/>
        <c:axId val="197473024"/>
      </c:barChart>
      <c:catAx>
        <c:axId val="19725260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>
                    <a:solidFill>
                      <a:sysClr val="windowText" lastClr="000000"/>
                    </a:solidFill>
                  </a:rPr>
                  <a:t>Main Occupational Category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473024"/>
        <c:crosses val="autoZero"/>
        <c:auto val="1"/>
        <c:lblAlgn val="ctr"/>
        <c:lblOffset val="100"/>
        <c:noMultiLvlLbl val="0"/>
      </c:catAx>
      <c:valAx>
        <c:axId val="19747302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>
                    <a:solidFill>
                      <a:sysClr val="windowText" lastClr="000000"/>
                    </a:solidFill>
                  </a:rPr>
                  <a:t>Percentage</a:t>
                </a:r>
              </a:p>
            </c:rich>
          </c:tx>
          <c:layout>
            <c:manualLayout>
              <c:xMode val="edge"/>
              <c:yMode val="edge"/>
              <c:x val="1.4854929455881629E-2"/>
              <c:y val="0.1448053368328959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###0.0%" sourceLinked="1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2526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Sheet3!$A$6</c:f>
              <c:strCache>
                <c:ptCount val="1"/>
                <c:pt idx="0">
                  <c:v>Manufacturing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Sheet3!$B$3:$K$3</c:f>
              <c:strCache>
                <c:ptCount val="10"/>
                <c:pt idx="0">
                  <c:v>Armed Forces</c:v>
                </c:pt>
                <c:pt idx="1">
                  <c:v>Legislators, Senior Officials And Managers</c:v>
                </c:pt>
                <c:pt idx="2">
                  <c:v>Professionals</c:v>
                </c:pt>
                <c:pt idx="3">
                  <c:v>Technicians &amp; Associate professionals</c:v>
                </c:pt>
                <c:pt idx="4">
                  <c:v>Clerks</c:v>
                </c:pt>
                <c:pt idx="5">
                  <c:v>Service Workers &amp; Shop &amp; Market Sales Workers</c:v>
                </c:pt>
                <c:pt idx="6">
                  <c:v>Skilled Agricultural &amp; Fishery Workers</c:v>
                </c:pt>
                <c:pt idx="7">
                  <c:v>Craft &amp; Related Workers</c:v>
                </c:pt>
                <c:pt idx="8">
                  <c:v>Plant and Machine Operators and Assemblers</c:v>
                </c:pt>
                <c:pt idx="9">
                  <c:v>Elementary Occupations</c:v>
                </c:pt>
              </c:strCache>
            </c:strRef>
          </c:cat>
          <c:val>
            <c:numRef>
              <c:f>Sheet3!$B$6:$K$6</c:f>
              <c:numCache>
                <c:formatCode>###0.0%</c:formatCode>
                <c:ptCount val="10"/>
                <c:pt idx="0">
                  <c:v>0</c:v>
                </c:pt>
                <c:pt idx="1">
                  <c:v>1.0732701762801295E-2</c:v>
                </c:pt>
                <c:pt idx="2">
                  <c:v>1.3550785465883199E-2</c:v>
                </c:pt>
                <c:pt idx="3">
                  <c:v>0.11170404125194867</c:v>
                </c:pt>
                <c:pt idx="4">
                  <c:v>3.6635088140064755E-2</c:v>
                </c:pt>
                <c:pt idx="5">
                  <c:v>3.9812927209497542E-2</c:v>
                </c:pt>
                <c:pt idx="6">
                  <c:v>8.9938841587720354E-4</c:v>
                </c:pt>
                <c:pt idx="7">
                  <c:v>0.36497181916296917</c:v>
                </c:pt>
                <c:pt idx="8">
                  <c:v>0.22136946876124233</c:v>
                </c:pt>
                <c:pt idx="9">
                  <c:v>0.20032377982971583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4E5-466F-8FB5-86045F1AFF1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97279744"/>
        <c:axId val="197282816"/>
      </c:barChart>
      <c:catAx>
        <c:axId val="19727974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>
                    <a:solidFill>
                      <a:sysClr val="windowText" lastClr="000000"/>
                    </a:solidFill>
                  </a:rPr>
                  <a:t>Main Occupational Category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282816"/>
        <c:crosses val="autoZero"/>
        <c:auto val="1"/>
        <c:lblAlgn val="ctr"/>
        <c:lblOffset val="100"/>
        <c:noMultiLvlLbl val="0"/>
      </c:catAx>
      <c:valAx>
        <c:axId val="19728281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>
                    <a:solidFill>
                      <a:sysClr val="windowText" lastClr="000000"/>
                    </a:solidFill>
                  </a:rPr>
                  <a:t>Percentage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###0.0%" sourceLinked="1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2797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6" Type="http://schemas.openxmlformats.org/officeDocument/2006/relationships/chart" Target="../charts/chart11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4.xml"/><Relationship Id="rId2" Type="http://schemas.openxmlformats.org/officeDocument/2006/relationships/chart" Target="../charts/chart13.xml"/><Relationship Id="rId1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100013</xdr:colOff>
      <xdr:row>11</xdr:row>
      <xdr:rowOff>76200</xdr:rowOff>
    </xdr:from>
    <xdr:to>
      <xdr:col>3</xdr:col>
      <xdr:colOff>792481</xdr:colOff>
      <xdr:row>26</xdr:row>
      <xdr:rowOff>129540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47624</xdr:colOff>
      <xdr:row>38</xdr:row>
      <xdr:rowOff>28575</xdr:rowOff>
    </xdr:from>
    <xdr:to>
      <xdr:col>4</xdr:col>
      <xdr:colOff>586740</xdr:colOff>
      <xdr:row>52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104775</xdr:colOff>
      <xdr:row>64</xdr:row>
      <xdr:rowOff>57150</xdr:rowOff>
    </xdr:from>
    <xdr:to>
      <xdr:col>4</xdr:col>
      <xdr:colOff>350520</xdr:colOff>
      <xdr:row>77</xdr:row>
      <xdr:rowOff>160020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xmlns="" id="{00000000-0008-0000-00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109537</xdr:colOff>
      <xdr:row>89</xdr:row>
      <xdr:rowOff>76200</xdr:rowOff>
    </xdr:from>
    <xdr:to>
      <xdr:col>4</xdr:col>
      <xdr:colOff>504825</xdr:colOff>
      <xdr:row>102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xmlns="" id="{00000000-0008-0000-00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80961</xdr:colOff>
      <xdr:row>115</xdr:row>
      <xdr:rowOff>57150</xdr:rowOff>
    </xdr:from>
    <xdr:to>
      <xdr:col>6</xdr:col>
      <xdr:colOff>662940</xdr:colOff>
      <xdr:row>129</xdr:row>
      <xdr:rowOff>133350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xmlns="" id="{00000000-0008-0000-00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152400</xdr:colOff>
      <xdr:row>75</xdr:row>
      <xdr:rowOff>114300</xdr:rowOff>
    </xdr:from>
    <xdr:to>
      <xdr:col>4</xdr:col>
      <xdr:colOff>507546</xdr:colOff>
      <xdr:row>90</xdr:row>
      <xdr:rowOff>66675</xdr:rowOff>
    </xdr:to>
    <xdr:graphicFrame macro="">
      <xdr:nvGraphicFramePr>
        <xdr:cNvPr id="59" name="Chart 58">
          <a:extLst>
            <a:ext uri="{FF2B5EF4-FFF2-40B4-BE49-F238E27FC236}">
              <a16:creationId xmlns:a16="http://schemas.microsoft.com/office/drawing/2014/main" xmlns="" id="{850261F3-C0C8-4AAD-A4BA-47AA5C868C8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95250</xdr:colOff>
      <xdr:row>121</xdr:row>
      <xdr:rowOff>180974</xdr:rowOff>
    </xdr:from>
    <xdr:to>
      <xdr:col>4</xdr:col>
      <xdr:colOff>0</xdr:colOff>
      <xdr:row>152</xdr:row>
      <xdr:rowOff>47624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xmlns="" id="{449F8DBF-8A12-5E14-C517-A91F83D1C8D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85724</xdr:colOff>
      <xdr:row>154</xdr:row>
      <xdr:rowOff>19049</xdr:rowOff>
    </xdr:from>
    <xdr:to>
      <xdr:col>3</xdr:col>
      <xdr:colOff>781049</xdr:colOff>
      <xdr:row>184</xdr:row>
      <xdr:rowOff>85725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xmlns="" id="{C302820C-6471-6E1E-3259-C429E591B9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304800</xdr:colOff>
      <xdr:row>196</xdr:row>
      <xdr:rowOff>85725</xdr:rowOff>
    </xdr:from>
    <xdr:to>
      <xdr:col>4</xdr:col>
      <xdr:colOff>533400</xdr:colOff>
      <xdr:row>214</xdr:row>
      <xdr:rowOff>9525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xmlns="" id="{1FE63E8B-53C4-FC56-9C1A-FAAB94565CF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346074</xdr:colOff>
      <xdr:row>229</xdr:row>
      <xdr:rowOff>19050</xdr:rowOff>
    </xdr:from>
    <xdr:to>
      <xdr:col>5</xdr:col>
      <xdr:colOff>184150</xdr:colOff>
      <xdr:row>244</xdr:row>
      <xdr:rowOff>47625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xmlns="" id="{F75D2A22-6869-51DB-A6B7-BD9217D7629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167640</xdr:colOff>
      <xdr:row>17</xdr:row>
      <xdr:rowOff>114300</xdr:rowOff>
    </xdr:from>
    <xdr:to>
      <xdr:col>4</xdr:col>
      <xdr:colOff>358140</xdr:colOff>
      <xdr:row>33</xdr:row>
      <xdr:rowOff>129540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xmlns="" id="{71776823-7E80-9326-EA27-0BB99062E5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5</xdr:col>
      <xdr:colOff>223716</xdr:colOff>
      <xdr:row>43</xdr:row>
      <xdr:rowOff>38100</xdr:rowOff>
    </xdr:from>
    <xdr:to>
      <xdr:col>5</xdr:col>
      <xdr:colOff>402310</xdr:colOff>
      <xdr:row>43</xdr:row>
      <xdr:rowOff>209597</xdr:rowOff>
    </xdr:to>
    <xdr:sp macro="" textlink="">
      <xdr:nvSpPr>
        <xdr:cNvPr id="23" name="Up Arrow 17">
          <a:extLst>
            <a:ext uri="{FF2B5EF4-FFF2-40B4-BE49-F238E27FC236}">
              <a16:creationId xmlns:a16="http://schemas.microsoft.com/office/drawing/2014/main" xmlns="" id="{1BEC8DE3-6283-4D4B-B967-5257C842EAE5}"/>
            </a:ext>
          </a:extLst>
        </xdr:cNvPr>
        <xdr:cNvSpPr/>
      </xdr:nvSpPr>
      <xdr:spPr>
        <a:xfrm rot="10800000">
          <a:off x="6431085" y="9692054"/>
          <a:ext cx="178594" cy="171497"/>
        </a:xfrm>
        <a:prstGeom prst="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211032</xdr:colOff>
      <xdr:row>37</xdr:row>
      <xdr:rowOff>23446</xdr:rowOff>
    </xdr:from>
    <xdr:to>
      <xdr:col>5</xdr:col>
      <xdr:colOff>389626</xdr:colOff>
      <xdr:row>37</xdr:row>
      <xdr:rowOff>194943</xdr:rowOff>
    </xdr:to>
    <xdr:sp macro="" textlink="">
      <xdr:nvSpPr>
        <xdr:cNvPr id="18" name="Up Arrow 17">
          <a:extLst>
            <a:ext uri="{FF2B5EF4-FFF2-40B4-BE49-F238E27FC236}">
              <a16:creationId xmlns:a16="http://schemas.microsoft.com/office/drawing/2014/main" xmlns="" id="{1BEC8DE3-6283-4D4B-B967-5257C842EAE5}"/>
            </a:ext>
          </a:extLst>
        </xdr:cNvPr>
        <xdr:cNvSpPr/>
      </xdr:nvSpPr>
      <xdr:spPr>
        <a:xfrm>
          <a:off x="6418401" y="8305800"/>
          <a:ext cx="178594" cy="171497"/>
        </a:xfrm>
        <a:prstGeom prst="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216876</xdr:colOff>
      <xdr:row>38</xdr:row>
      <xdr:rowOff>35169</xdr:rowOff>
    </xdr:from>
    <xdr:to>
      <xdr:col>5</xdr:col>
      <xdr:colOff>395470</xdr:colOff>
      <xdr:row>38</xdr:row>
      <xdr:rowOff>206666</xdr:rowOff>
    </xdr:to>
    <xdr:sp macro="" textlink="">
      <xdr:nvSpPr>
        <xdr:cNvPr id="29" name="Up Arrow 28">
          <a:extLst>
            <a:ext uri="{FF2B5EF4-FFF2-40B4-BE49-F238E27FC236}">
              <a16:creationId xmlns:a16="http://schemas.microsoft.com/office/drawing/2014/main" xmlns="" id="{1BEC8DE3-6283-4D4B-B967-5257C842EAE5}"/>
            </a:ext>
          </a:extLst>
        </xdr:cNvPr>
        <xdr:cNvSpPr/>
      </xdr:nvSpPr>
      <xdr:spPr>
        <a:xfrm>
          <a:off x="6424245" y="8546123"/>
          <a:ext cx="178594" cy="171497"/>
        </a:xfrm>
        <a:prstGeom prst="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211015</xdr:colOff>
      <xdr:row>40</xdr:row>
      <xdr:rowOff>52753</xdr:rowOff>
    </xdr:from>
    <xdr:to>
      <xdr:col>5</xdr:col>
      <xdr:colOff>389609</xdr:colOff>
      <xdr:row>40</xdr:row>
      <xdr:rowOff>224250</xdr:rowOff>
    </xdr:to>
    <xdr:sp macro="" textlink="">
      <xdr:nvSpPr>
        <xdr:cNvPr id="30" name="Up Arrow 29">
          <a:extLst>
            <a:ext uri="{FF2B5EF4-FFF2-40B4-BE49-F238E27FC236}">
              <a16:creationId xmlns:a16="http://schemas.microsoft.com/office/drawing/2014/main" xmlns="" id="{1BEC8DE3-6283-4D4B-B967-5257C842EAE5}"/>
            </a:ext>
          </a:extLst>
        </xdr:cNvPr>
        <xdr:cNvSpPr/>
      </xdr:nvSpPr>
      <xdr:spPr>
        <a:xfrm>
          <a:off x="6418384" y="9020907"/>
          <a:ext cx="178594" cy="171497"/>
        </a:xfrm>
        <a:prstGeom prst="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257908</xdr:colOff>
      <xdr:row>46</xdr:row>
      <xdr:rowOff>222739</xdr:rowOff>
    </xdr:from>
    <xdr:to>
      <xdr:col>5</xdr:col>
      <xdr:colOff>436502</xdr:colOff>
      <xdr:row>47</xdr:row>
      <xdr:rowOff>165636</xdr:rowOff>
    </xdr:to>
    <xdr:sp macro="" textlink="">
      <xdr:nvSpPr>
        <xdr:cNvPr id="36" name="Up Arrow 35">
          <a:extLst>
            <a:ext uri="{FF2B5EF4-FFF2-40B4-BE49-F238E27FC236}">
              <a16:creationId xmlns:a16="http://schemas.microsoft.com/office/drawing/2014/main" xmlns="" id="{1BEC8DE3-6283-4D4B-B967-5257C842EAE5}"/>
            </a:ext>
          </a:extLst>
        </xdr:cNvPr>
        <xdr:cNvSpPr/>
      </xdr:nvSpPr>
      <xdr:spPr>
        <a:xfrm>
          <a:off x="6465277" y="10562493"/>
          <a:ext cx="178594" cy="171497"/>
        </a:xfrm>
        <a:prstGeom prst="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205154</xdr:colOff>
      <xdr:row>41</xdr:row>
      <xdr:rowOff>58615</xdr:rowOff>
    </xdr:from>
    <xdr:to>
      <xdr:col>5</xdr:col>
      <xdr:colOff>383748</xdr:colOff>
      <xdr:row>42</xdr:row>
      <xdr:rowOff>1512</xdr:rowOff>
    </xdr:to>
    <xdr:sp macro="" textlink="">
      <xdr:nvSpPr>
        <xdr:cNvPr id="21" name="Up Arrow 17">
          <a:extLst>
            <a:ext uri="{FF2B5EF4-FFF2-40B4-BE49-F238E27FC236}">
              <a16:creationId xmlns:a16="http://schemas.microsoft.com/office/drawing/2014/main" xmlns="" id="{1BEC8DE3-6283-4D4B-B967-5257C842EAE5}"/>
            </a:ext>
          </a:extLst>
        </xdr:cNvPr>
        <xdr:cNvSpPr/>
      </xdr:nvSpPr>
      <xdr:spPr>
        <a:xfrm rot="10800000">
          <a:off x="6412523" y="9255369"/>
          <a:ext cx="178594" cy="171497"/>
        </a:xfrm>
        <a:prstGeom prst="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222738</xdr:colOff>
      <xdr:row>42</xdr:row>
      <xdr:rowOff>29308</xdr:rowOff>
    </xdr:from>
    <xdr:to>
      <xdr:col>5</xdr:col>
      <xdr:colOff>401332</xdr:colOff>
      <xdr:row>42</xdr:row>
      <xdr:rowOff>200805</xdr:rowOff>
    </xdr:to>
    <xdr:sp macro="" textlink="">
      <xdr:nvSpPr>
        <xdr:cNvPr id="24" name="Up Arrow 17">
          <a:extLst>
            <a:ext uri="{FF2B5EF4-FFF2-40B4-BE49-F238E27FC236}">
              <a16:creationId xmlns:a16="http://schemas.microsoft.com/office/drawing/2014/main" xmlns="" id="{1BEC8DE3-6283-4D4B-B967-5257C842EAE5}"/>
            </a:ext>
          </a:extLst>
        </xdr:cNvPr>
        <xdr:cNvSpPr/>
      </xdr:nvSpPr>
      <xdr:spPr>
        <a:xfrm rot="10800000">
          <a:off x="6430107" y="9454662"/>
          <a:ext cx="178594" cy="171497"/>
        </a:xfrm>
        <a:prstGeom prst="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234462</xdr:colOff>
      <xdr:row>44</xdr:row>
      <xdr:rowOff>29307</xdr:rowOff>
    </xdr:from>
    <xdr:to>
      <xdr:col>5</xdr:col>
      <xdr:colOff>413056</xdr:colOff>
      <xdr:row>44</xdr:row>
      <xdr:rowOff>200804</xdr:rowOff>
    </xdr:to>
    <xdr:sp macro="" textlink="">
      <xdr:nvSpPr>
        <xdr:cNvPr id="28" name="Up Arrow 17">
          <a:extLst>
            <a:ext uri="{FF2B5EF4-FFF2-40B4-BE49-F238E27FC236}">
              <a16:creationId xmlns:a16="http://schemas.microsoft.com/office/drawing/2014/main" xmlns="" id="{1BEC8DE3-6283-4D4B-B967-5257C842EAE5}"/>
            </a:ext>
          </a:extLst>
        </xdr:cNvPr>
        <xdr:cNvSpPr/>
      </xdr:nvSpPr>
      <xdr:spPr>
        <a:xfrm rot="10800000">
          <a:off x="6441831" y="9911861"/>
          <a:ext cx="178594" cy="171497"/>
        </a:xfrm>
        <a:prstGeom prst="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234462</xdr:colOff>
      <xdr:row>45</xdr:row>
      <xdr:rowOff>35169</xdr:rowOff>
    </xdr:from>
    <xdr:to>
      <xdr:col>5</xdr:col>
      <xdr:colOff>413056</xdr:colOff>
      <xdr:row>45</xdr:row>
      <xdr:rowOff>206666</xdr:rowOff>
    </xdr:to>
    <xdr:sp macro="" textlink="">
      <xdr:nvSpPr>
        <xdr:cNvPr id="31" name="Up Arrow 30">
          <a:extLst>
            <a:ext uri="{FF2B5EF4-FFF2-40B4-BE49-F238E27FC236}">
              <a16:creationId xmlns:a16="http://schemas.microsoft.com/office/drawing/2014/main" xmlns="" id="{1BEC8DE3-6283-4D4B-B967-5257C842EAE5}"/>
            </a:ext>
          </a:extLst>
        </xdr:cNvPr>
        <xdr:cNvSpPr/>
      </xdr:nvSpPr>
      <xdr:spPr>
        <a:xfrm>
          <a:off x="6441831" y="10146323"/>
          <a:ext cx="178594" cy="171497"/>
        </a:xfrm>
        <a:prstGeom prst="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216877</xdr:colOff>
      <xdr:row>39</xdr:row>
      <xdr:rowOff>29308</xdr:rowOff>
    </xdr:from>
    <xdr:to>
      <xdr:col>5</xdr:col>
      <xdr:colOff>395471</xdr:colOff>
      <xdr:row>39</xdr:row>
      <xdr:rowOff>200805</xdr:rowOff>
    </xdr:to>
    <xdr:sp macro="" textlink="">
      <xdr:nvSpPr>
        <xdr:cNvPr id="19" name="Up Arrow 18">
          <a:extLst>
            <a:ext uri="{FF2B5EF4-FFF2-40B4-BE49-F238E27FC236}">
              <a16:creationId xmlns:a16="http://schemas.microsoft.com/office/drawing/2014/main" xmlns="" id="{1BEC8DE3-6283-4D4B-B967-5257C842EAE5}"/>
            </a:ext>
          </a:extLst>
        </xdr:cNvPr>
        <xdr:cNvSpPr/>
      </xdr:nvSpPr>
      <xdr:spPr>
        <a:xfrm>
          <a:off x="6424246" y="8768862"/>
          <a:ext cx="178594" cy="171497"/>
        </a:xfrm>
        <a:prstGeom prst="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176211</xdr:colOff>
      <xdr:row>26</xdr:row>
      <xdr:rowOff>38100</xdr:rowOff>
    </xdr:from>
    <xdr:to>
      <xdr:col>12</xdr:col>
      <xdr:colOff>114299</xdr:colOff>
      <xdr:row>41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00000000-0008-0000-0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199072</xdr:colOff>
      <xdr:row>44</xdr:row>
      <xdr:rowOff>190500</xdr:rowOff>
    </xdr:from>
    <xdr:to>
      <xdr:col>12</xdr:col>
      <xdr:colOff>146685</xdr:colOff>
      <xdr:row>59</xdr:row>
      <xdr:rowOff>274320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00000000-0008-0000-02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147636</xdr:colOff>
      <xdr:row>65</xdr:row>
      <xdr:rowOff>85725</xdr:rowOff>
    </xdr:from>
    <xdr:to>
      <xdr:col>12</xdr:col>
      <xdr:colOff>180974</xdr:colOff>
      <xdr:row>79</xdr:row>
      <xdr:rowOff>161925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xmlns="" id="{00000000-0008-0000-02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01.%20LMI/LMI%20Bulletins/2%20LMI%20December%20Bulletins/LMI%20Bulletin%20December%202018/Sections/Section%2001%202018%20December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Information%20TVEC\Labour%20Marcket\Labour%20market%202024\vol%201\deamand\Demand%20section%20section4%20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  <sheetName val="Sheet4"/>
      <sheetName val="US$1=Rs.176.44 as at 04.06.2019"/>
    </sheetNames>
    <sheetDataSet>
      <sheetData sheetId="0">
        <row r="3">
          <cell r="A3" t="str">
            <v>Government</v>
          </cell>
        </row>
        <row r="33">
          <cell r="A33" t="str">
            <v>Formal</v>
          </cell>
        </row>
        <row r="34">
          <cell r="A34" t="str">
            <v>Informal</v>
          </cell>
        </row>
        <row r="58">
          <cell r="A58" t="str">
            <v>Male</v>
          </cell>
        </row>
        <row r="59">
          <cell r="A59" t="str">
            <v>Female</v>
          </cell>
        </row>
        <row r="60">
          <cell r="A60" t="str">
            <v>Not Specified</v>
          </cell>
        </row>
        <row r="84">
          <cell r="A84" t="str">
            <v>Experience Required</v>
          </cell>
        </row>
        <row r="85">
          <cell r="A85" t="str">
            <v>Not Specified</v>
          </cell>
        </row>
      </sheetData>
      <sheetData sheetId="1"/>
      <sheetData sheetId="2">
        <row r="3">
          <cell r="B3" t="str">
            <v xml:space="preserve"> Legislators, Senior Officials And Managers</v>
          </cell>
        </row>
      </sheetData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  <sheetName val="Sheet4"/>
      <sheetName val="Remuneration USD 1 = Rs. 296.45"/>
      <sheetName val="Sheet15"/>
      <sheetName val="Sheet16"/>
      <sheetName val="Sheet17"/>
      <sheetName val="Sheet18"/>
    </sheetNames>
    <sheetDataSet>
      <sheetData sheetId="0"/>
      <sheetData sheetId="1"/>
      <sheetData sheetId="2">
        <row r="3">
          <cell r="B3" t="str">
            <v>Armed Forces</v>
          </cell>
          <cell r="C3" t="str">
            <v>Legislators, Senior Officials And Managers</v>
          </cell>
          <cell r="D3" t="str">
            <v>Professionals</v>
          </cell>
          <cell r="E3" t="str">
            <v>Technicians &amp; Associate professionals</v>
          </cell>
          <cell r="F3" t="str">
            <v>Clerks</v>
          </cell>
          <cell r="G3" t="str">
            <v>Service Workers &amp; Shop &amp; Market Sales Workers</v>
          </cell>
          <cell r="H3" t="str">
            <v>Skilled Agricultural &amp; Fishery Workers</v>
          </cell>
          <cell r="I3" t="str">
            <v>Craft &amp; Related Workers</v>
          </cell>
          <cell r="J3" t="str">
            <v>Plant and Machine Operators and Assemblers</v>
          </cell>
          <cell r="K3" t="str">
            <v>Elementary Occupations</v>
          </cell>
        </row>
      </sheetData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/>
  </sheetPr>
  <dimension ref="A1:AK115"/>
  <sheetViews>
    <sheetView tabSelected="1" workbookViewId="0">
      <selection activeCell="B58" sqref="B58:H61"/>
    </sheetView>
  </sheetViews>
  <sheetFormatPr defaultRowHeight="14.4" x14ac:dyDescent="0.3"/>
  <cols>
    <col min="1" max="1" width="25.33203125" customWidth="1"/>
    <col min="2" max="2" width="12.44140625" customWidth="1"/>
    <col min="3" max="8" width="11.6640625" customWidth="1"/>
    <col min="24" max="24" width="3.5546875" customWidth="1"/>
    <col min="25" max="25" width="18" customWidth="1"/>
    <col min="32" max="32" width="13" customWidth="1"/>
    <col min="35" max="35" width="16" customWidth="1"/>
  </cols>
  <sheetData>
    <row r="1" spans="1:27" s="1" customFormat="1" ht="29.25" customHeight="1" x14ac:dyDescent="0.25">
      <c r="A1" s="1" t="s">
        <v>155</v>
      </c>
      <c r="Y1" s="323" t="s">
        <v>113</v>
      </c>
      <c r="Z1" s="323"/>
      <c r="AA1" s="179"/>
    </row>
    <row r="2" spans="1:27" ht="36" customHeight="1" x14ac:dyDescent="0.3">
      <c r="A2" s="35" t="s">
        <v>13</v>
      </c>
      <c r="B2" s="36">
        <v>2019</v>
      </c>
      <c r="C2" s="37">
        <v>2020</v>
      </c>
      <c r="D2" s="37">
        <v>2021</v>
      </c>
      <c r="E2" s="95">
        <v>2022</v>
      </c>
      <c r="F2" s="95">
        <v>2023</v>
      </c>
      <c r="G2" s="95">
        <v>2024</v>
      </c>
      <c r="H2" s="49">
        <v>2025</v>
      </c>
      <c r="R2" s="323" t="s">
        <v>113</v>
      </c>
      <c r="S2" s="323"/>
      <c r="T2" s="179"/>
      <c r="Y2" s="180" t="s">
        <v>114</v>
      </c>
      <c r="Z2" s="179"/>
      <c r="AA2" s="179"/>
    </row>
    <row r="3" spans="1:27" ht="18" customHeight="1" x14ac:dyDescent="0.3">
      <c r="A3" s="2" t="s">
        <v>14</v>
      </c>
      <c r="B3" s="128">
        <v>256</v>
      </c>
      <c r="C3" s="128">
        <v>694</v>
      </c>
      <c r="D3" s="128">
        <v>583</v>
      </c>
      <c r="E3" s="129">
        <v>210</v>
      </c>
      <c r="F3" s="107">
        <v>211</v>
      </c>
      <c r="G3" s="107">
        <v>304</v>
      </c>
      <c r="H3" s="107">
        <v>183</v>
      </c>
      <c r="I3" s="24">
        <f>(H3/$H$7)</f>
        <v>1.3784272371196143E-3</v>
      </c>
      <c r="R3" s="180" t="s">
        <v>114</v>
      </c>
      <c r="S3" s="179"/>
      <c r="T3" s="179"/>
      <c r="Y3" s="323" t="s">
        <v>113</v>
      </c>
      <c r="Z3" s="323"/>
      <c r="AA3" s="179"/>
    </row>
    <row r="4" spans="1:27" ht="18" customHeight="1" x14ac:dyDescent="0.3">
      <c r="A4" s="2" t="s">
        <v>15</v>
      </c>
      <c r="B4" s="128">
        <v>570</v>
      </c>
      <c r="C4" s="128">
        <v>450</v>
      </c>
      <c r="D4" s="128">
        <v>461</v>
      </c>
      <c r="E4" s="129">
        <v>209</v>
      </c>
      <c r="F4" s="107">
        <v>267</v>
      </c>
      <c r="G4" s="107">
        <v>557</v>
      </c>
      <c r="H4" s="107">
        <v>757</v>
      </c>
      <c r="I4" s="24">
        <f>(H4/$H$7)</f>
        <v>5.702018680325399E-3</v>
      </c>
      <c r="R4" s="181" t="s">
        <v>206</v>
      </c>
      <c r="S4" s="182" t="s">
        <v>186</v>
      </c>
      <c r="T4" s="179"/>
      <c r="Y4" s="180" t="s">
        <v>114</v>
      </c>
      <c r="Z4" s="179"/>
      <c r="AA4" s="179"/>
    </row>
    <row r="5" spans="1:27" ht="18" customHeight="1" x14ac:dyDescent="0.3">
      <c r="A5" s="2" t="s">
        <v>16</v>
      </c>
      <c r="B5" s="128">
        <v>159999</v>
      </c>
      <c r="C5" s="128">
        <v>121765</v>
      </c>
      <c r="D5" s="128">
        <v>143076</v>
      </c>
      <c r="E5" s="129">
        <v>115034</v>
      </c>
      <c r="F5" s="107">
        <v>101989</v>
      </c>
      <c r="G5" s="107">
        <v>126067</v>
      </c>
      <c r="H5" s="107">
        <v>131813</v>
      </c>
      <c r="I5" s="24">
        <f t="shared" ref="I5:I7" si="0">(H5/$H$7)</f>
        <v>0.99286682735763787</v>
      </c>
      <c r="R5" s="183" t="s">
        <v>14</v>
      </c>
      <c r="S5" s="184">
        <v>183</v>
      </c>
      <c r="T5" s="179"/>
      <c r="Y5" s="181" t="s">
        <v>189</v>
      </c>
      <c r="Z5" s="182" t="s">
        <v>190</v>
      </c>
      <c r="AA5" s="179"/>
    </row>
    <row r="6" spans="1:27" ht="18" customHeight="1" x14ac:dyDescent="0.3">
      <c r="A6" s="2" t="s">
        <v>17</v>
      </c>
      <c r="B6" s="128">
        <v>108</v>
      </c>
      <c r="C6" s="128">
        <v>94</v>
      </c>
      <c r="D6" s="128">
        <v>37</v>
      </c>
      <c r="E6" s="129">
        <v>10</v>
      </c>
      <c r="F6" s="107">
        <v>34</v>
      </c>
      <c r="G6" s="107">
        <v>26</v>
      </c>
      <c r="H6" s="107">
        <v>7</v>
      </c>
      <c r="I6" s="24">
        <f t="shared" si="0"/>
        <v>5.2726724917143718E-5</v>
      </c>
      <c r="R6" s="185" t="s">
        <v>207</v>
      </c>
      <c r="S6" s="186">
        <v>757</v>
      </c>
      <c r="T6" s="179"/>
      <c r="Y6" s="183" t="s">
        <v>14</v>
      </c>
      <c r="Z6" s="184">
        <v>83</v>
      </c>
      <c r="AA6" s="179"/>
    </row>
    <row r="7" spans="1:27" ht="18" customHeight="1" x14ac:dyDescent="0.3">
      <c r="A7" s="5" t="s">
        <v>18</v>
      </c>
      <c r="B7" s="128">
        <v>160933</v>
      </c>
      <c r="C7" s="128">
        <v>123003</v>
      </c>
      <c r="D7" s="128">
        <v>144157</v>
      </c>
      <c r="E7" s="130">
        <v>115463</v>
      </c>
      <c r="F7" s="131">
        <v>102501</v>
      </c>
      <c r="G7" s="131">
        <v>126954</v>
      </c>
      <c r="H7" s="131">
        <v>132760</v>
      </c>
      <c r="I7" s="24">
        <f t="shared" si="0"/>
        <v>1</v>
      </c>
      <c r="J7" s="18"/>
      <c r="R7" s="185" t="s">
        <v>16</v>
      </c>
      <c r="S7" s="186">
        <v>131813</v>
      </c>
      <c r="T7" s="179"/>
      <c r="Y7" s="185" t="s">
        <v>160</v>
      </c>
      <c r="Z7" s="186">
        <v>220</v>
      </c>
      <c r="AA7" s="179"/>
    </row>
    <row r="8" spans="1:27" ht="15.75" customHeight="1" x14ac:dyDescent="0.3">
      <c r="L8" s="22"/>
      <c r="R8" s="185" t="s">
        <v>17</v>
      </c>
      <c r="S8" s="186">
        <v>7</v>
      </c>
      <c r="T8" s="179"/>
      <c r="Y8" s="185" t="s">
        <v>16</v>
      </c>
      <c r="Z8" s="186">
        <v>65190</v>
      </c>
      <c r="AA8" s="179"/>
    </row>
    <row r="9" spans="1:27" x14ac:dyDescent="0.3">
      <c r="R9" s="187" t="s">
        <v>18</v>
      </c>
      <c r="S9" s="188">
        <v>132760</v>
      </c>
      <c r="T9" s="179"/>
      <c r="Y9" s="185" t="s">
        <v>17</v>
      </c>
      <c r="Z9" s="186">
        <v>2</v>
      </c>
      <c r="AA9" s="179"/>
    </row>
    <row r="10" spans="1:27" x14ac:dyDescent="0.3">
      <c r="Y10" s="187" t="s">
        <v>18</v>
      </c>
      <c r="Z10" s="188">
        <v>65495</v>
      </c>
      <c r="AA10" s="179"/>
    </row>
    <row r="11" spans="1:27" ht="24.75" customHeight="1" x14ac:dyDescent="0.3">
      <c r="A11" s="1" t="s">
        <v>208</v>
      </c>
    </row>
    <row r="28" spans="1:29" x14ac:dyDescent="0.3">
      <c r="AA28" s="324" t="s">
        <v>113</v>
      </c>
      <c r="AB28" s="324"/>
      <c r="AC28" s="38"/>
    </row>
    <row r="29" spans="1:29" ht="15" thickBot="1" x14ac:dyDescent="0.35">
      <c r="AA29" s="39" t="s">
        <v>114</v>
      </c>
      <c r="AB29" s="38"/>
      <c r="AC29" s="38"/>
    </row>
    <row r="30" spans="1:29" ht="26.25" customHeight="1" thickTop="1" thickBot="1" x14ac:dyDescent="0.35">
      <c r="AA30" s="92" t="s">
        <v>116</v>
      </c>
      <c r="AB30" s="40" t="s">
        <v>115</v>
      </c>
      <c r="AC30" s="38"/>
    </row>
    <row r="31" spans="1:29" ht="25.5" customHeight="1" thickTop="1" x14ac:dyDescent="0.3">
      <c r="A31" s="1" t="s">
        <v>156</v>
      </c>
      <c r="AA31" s="41" t="s">
        <v>20</v>
      </c>
      <c r="AB31" s="42">
        <v>8485</v>
      </c>
      <c r="AC31" s="38"/>
    </row>
    <row r="32" spans="1:29" ht="31.5" customHeight="1" x14ac:dyDescent="0.3">
      <c r="A32" s="126" t="s">
        <v>19</v>
      </c>
      <c r="B32" s="127">
        <v>2019</v>
      </c>
      <c r="C32" s="36">
        <v>2020</v>
      </c>
      <c r="D32" s="36">
        <v>2021</v>
      </c>
      <c r="E32" s="36">
        <v>2022</v>
      </c>
      <c r="F32" s="95">
        <v>2023</v>
      </c>
      <c r="G32" s="95">
        <v>2024</v>
      </c>
      <c r="H32" s="220">
        <v>2025</v>
      </c>
      <c r="AA32" s="43" t="s">
        <v>21</v>
      </c>
      <c r="AB32" s="44">
        <v>63665</v>
      </c>
      <c r="AC32" s="38"/>
    </row>
    <row r="33" spans="1:29" ht="18" customHeight="1" thickBot="1" x14ac:dyDescent="0.35">
      <c r="A33" s="7" t="s">
        <v>20</v>
      </c>
      <c r="B33" s="3">
        <v>27763</v>
      </c>
      <c r="C33" s="23">
        <v>18289</v>
      </c>
      <c r="D33" s="23">
        <v>22697</v>
      </c>
      <c r="E33" s="23">
        <v>13273</v>
      </c>
      <c r="F33" s="96">
        <v>12804</v>
      </c>
      <c r="G33" s="107">
        <v>14938</v>
      </c>
      <c r="H33" s="107">
        <v>12946</v>
      </c>
      <c r="I33" s="4">
        <f>H33/$H$35</f>
        <v>9.7514311539620369E-2</v>
      </c>
      <c r="S33" s="323" t="s">
        <v>113</v>
      </c>
      <c r="T33" s="323"/>
      <c r="U33" s="179"/>
      <c r="AA33" s="45" t="s">
        <v>18</v>
      </c>
      <c r="AB33" s="46">
        <v>72150</v>
      </c>
      <c r="AC33" s="38"/>
    </row>
    <row r="34" spans="1:29" ht="18" customHeight="1" thickTop="1" x14ac:dyDescent="0.3">
      <c r="A34" s="7" t="s">
        <v>21</v>
      </c>
      <c r="B34" s="3">
        <v>133170</v>
      </c>
      <c r="C34" s="23">
        <v>104714</v>
      </c>
      <c r="D34" s="23">
        <v>121460</v>
      </c>
      <c r="E34" s="23">
        <v>102190</v>
      </c>
      <c r="F34" s="96">
        <v>89697</v>
      </c>
      <c r="G34" s="107">
        <v>112016</v>
      </c>
      <c r="H34" s="107">
        <v>119814</v>
      </c>
      <c r="I34" s="4">
        <f>H34/$H$35</f>
        <v>0.90248568846037969</v>
      </c>
      <c r="S34" s="180" t="s">
        <v>114</v>
      </c>
      <c r="T34" s="179"/>
      <c r="U34" s="179"/>
    </row>
    <row r="35" spans="1:29" ht="18" customHeight="1" x14ac:dyDescent="0.3">
      <c r="A35" s="8" t="s">
        <v>18</v>
      </c>
      <c r="B35" s="6">
        <v>160933</v>
      </c>
      <c r="C35" s="26">
        <v>123003</v>
      </c>
      <c r="D35" s="26">
        <v>144157</v>
      </c>
      <c r="E35" s="26">
        <v>115463</v>
      </c>
      <c r="F35" s="97">
        <v>102501</v>
      </c>
      <c r="G35" s="108">
        <v>126954</v>
      </c>
      <c r="H35" s="108">
        <v>132760</v>
      </c>
      <c r="I35" s="4">
        <f t="shared" ref="I35" si="1">H35/$H$35</f>
        <v>1</v>
      </c>
      <c r="S35" s="181" t="s">
        <v>116</v>
      </c>
      <c r="T35" s="182" t="s">
        <v>186</v>
      </c>
      <c r="U35" s="179"/>
    </row>
    <row r="36" spans="1:29" x14ac:dyDescent="0.3">
      <c r="S36" s="183" t="s">
        <v>209</v>
      </c>
      <c r="T36" s="184">
        <v>12946</v>
      </c>
      <c r="U36" s="179"/>
    </row>
    <row r="37" spans="1:29" x14ac:dyDescent="0.3">
      <c r="S37" s="185" t="s">
        <v>210</v>
      </c>
      <c r="T37" s="186">
        <v>119814</v>
      </c>
      <c r="U37" s="179"/>
    </row>
    <row r="38" spans="1:29" ht="24.75" customHeight="1" x14ac:dyDescent="0.3">
      <c r="A38" s="1" t="s">
        <v>211</v>
      </c>
      <c r="S38" s="187" t="s">
        <v>18</v>
      </c>
      <c r="T38" s="188">
        <v>132760</v>
      </c>
      <c r="U38" s="179"/>
    </row>
    <row r="56" spans="1:31" ht="19.5" customHeight="1" x14ac:dyDescent="0.3">
      <c r="A56" s="1" t="s">
        <v>157</v>
      </c>
      <c r="S56" s="323" t="s">
        <v>113</v>
      </c>
      <c r="T56" s="323"/>
      <c r="U56" s="179"/>
      <c r="Z56" s="323" t="s">
        <v>113</v>
      </c>
      <c r="AA56" s="323"/>
      <c r="AB56" s="179"/>
    </row>
    <row r="57" spans="1:31" ht="36" customHeight="1" x14ac:dyDescent="0.3">
      <c r="A57" s="47" t="s">
        <v>22</v>
      </c>
      <c r="B57" s="50">
        <v>2019</v>
      </c>
      <c r="C57" s="51">
        <v>2020</v>
      </c>
      <c r="D57" s="51">
        <v>2021</v>
      </c>
      <c r="E57" s="51">
        <v>2022</v>
      </c>
      <c r="F57" s="49">
        <v>2023</v>
      </c>
      <c r="G57" s="222">
        <v>2024</v>
      </c>
      <c r="H57" s="221">
        <v>2025</v>
      </c>
      <c r="S57" s="180" t="s">
        <v>114</v>
      </c>
      <c r="T57" s="179"/>
      <c r="U57" s="179"/>
      <c r="Z57" s="180" t="s">
        <v>114</v>
      </c>
      <c r="AA57" s="179"/>
      <c r="AB57" s="179"/>
      <c r="AC57" s="325" t="s">
        <v>113</v>
      </c>
      <c r="AD57" s="325"/>
      <c r="AE57" s="38"/>
    </row>
    <row r="58" spans="1:31" ht="18" customHeight="1" x14ac:dyDescent="0.3">
      <c r="A58" s="7" t="s">
        <v>23</v>
      </c>
      <c r="B58" s="3">
        <v>72298</v>
      </c>
      <c r="C58" s="23">
        <v>28754</v>
      </c>
      <c r="D58" s="23">
        <v>49409</v>
      </c>
      <c r="E58" s="23">
        <v>37153</v>
      </c>
      <c r="F58" s="107">
        <v>43001</v>
      </c>
      <c r="G58" s="107">
        <v>64947</v>
      </c>
      <c r="H58" s="107">
        <v>79155</v>
      </c>
      <c r="I58" s="4">
        <f>H58/$H$61</f>
        <v>0.59622627297378727</v>
      </c>
      <c r="S58" s="181" t="s">
        <v>117</v>
      </c>
      <c r="T58" s="182" t="s">
        <v>186</v>
      </c>
      <c r="U58" s="179"/>
      <c r="Z58" s="323" t="s">
        <v>113</v>
      </c>
      <c r="AA58" s="323"/>
      <c r="AB58" s="179"/>
      <c r="AC58" s="98" t="s">
        <v>114</v>
      </c>
      <c r="AD58" s="38"/>
      <c r="AE58" s="38"/>
    </row>
    <row r="59" spans="1:31" ht="18" customHeight="1" x14ac:dyDescent="0.3">
      <c r="A59" s="7" t="s">
        <v>24</v>
      </c>
      <c r="B59" s="3">
        <v>29118</v>
      </c>
      <c r="C59" s="23">
        <v>19091</v>
      </c>
      <c r="D59" s="23">
        <v>20874</v>
      </c>
      <c r="E59" s="23">
        <v>24015</v>
      </c>
      <c r="F59" s="107">
        <v>20465</v>
      </c>
      <c r="G59" s="107">
        <v>21328</v>
      </c>
      <c r="H59" s="107">
        <v>18905</v>
      </c>
      <c r="I59" s="4">
        <f t="shared" ref="I59:I61" si="2">H59/$H$61</f>
        <v>0.14239981922265743</v>
      </c>
      <c r="M59" s="25"/>
      <c r="S59" s="183" t="s">
        <v>23</v>
      </c>
      <c r="T59" s="184">
        <v>79155</v>
      </c>
      <c r="U59" s="179"/>
      <c r="Z59" s="180" t="s">
        <v>114</v>
      </c>
      <c r="AA59" s="179"/>
      <c r="AB59" s="179"/>
      <c r="AC59" s="99" t="s">
        <v>117</v>
      </c>
      <c r="AD59" s="100" t="s">
        <v>136</v>
      </c>
      <c r="AE59" s="38"/>
    </row>
    <row r="60" spans="1:31" ht="18" customHeight="1" x14ac:dyDescent="0.3">
      <c r="A60" s="7" t="s">
        <v>25</v>
      </c>
      <c r="B60" s="3">
        <v>59517</v>
      </c>
      <c r="C60" s="23">
        <v>75158</v>
      </c>
      <c r="D60" s="23">
        <v>73874</v>
      </c>
      <c r="E60" s="23">
        <v>54295</v>
      </c>
      <c r="F60" s="107">
        <v>39035</v>
      </c>
      <c r="G60" s="107">
        <v>40679</v>
      </c>
      <c r="H60" s="107">
        <v>34700</v>
      </c>
      <c r="I60" s="4">
        <f t="shared" si="2"/>
        <v>0.26137390780355529</v>
      </c>
      <c r="S60" s="185" t="s">
        <v>24</v>
      </c>
      <c r="T60" s="186">
        <v>18905</v>
      </c>
      <c r="U60" s="179"/>
      <c r="Z60" s="181" t="s">
        <v>117</v>
      </c>
      <c r="AA60" s="182" t="s">
        <v>190</v>
      </c>
      <c r="AB60" s="179"/>
      <c r="AC60" s="101" t="s">
        <v>23</v>
      </c>
      <c r="AD60" s="102">
        <v>37153</v>
      </c>
      <c r="AE60" s="38"/>
    </row>
    <row r="61" spans="1:31" ht="18" customHeight="1" x14ac:dyDescent="0.3">
      <c r="A61" s="8" t="s">
        <v>18</v>
      </c>
      <c r="B61" s="6">
        <v>160933</v>
      </c>
      <c r="C61" s="26">
        <v>123003</v>
      </c>
      <c r="D61" s="26">
        <v>144157</v>
      </c>
      <c r="E61" s="26">
        <v>115463</v>
      </c>
      <c r="F61" s="108">
        <v>102501</v>
      </c>
      <c r="G61" s="108">
        <v>126954</v>
      </c>
      <c r="H61" s="108">
        <v>132760</v>
      </c>
      <c r="I61" s="4">
        <f t="shared" si="2"/>
        <v>1</v>
      </c>
      <c r="S61" s="185" t="s">
        <v>25</v>
      </c>
      <c r="T61" s="186">
        <v>34700</v>
      </c>
      <c r="U61" s="179"/>
      <c r="Z61" s="183" t="s">
        <v>23</v>
      </c>
      <c r="AA61" s="184">
        <v>38222</v>
      </c>
      <c r="AB61" s="179"/>
      <c r="AC61" s="103" t="s">
        <v>24</v>
      </c>
      <c r="AD61" s="104">
        <v>24015</v>
      </c>
      <c r="AE61" s="38"/>
    </row>
    <row r="62" spans="1:31" ht="18" customHeight="1" x14ac:dyDescent="0.3">
      <c r="A62" s="9"/>
      <c r="I62" s="10"/>
      <c r="S62" s="187" t="s">
        <v>18</v>
      </c>
      <c r="T62" s="188">
        <v>132760</v>
      </c>
      <c r="U62" s="179"/>
      <c r="Z62" s="185" t="s">
        <v>24</v>
      </c>
      <c r="AA62" s="186">
        <v>9684</v>
      </c>
      <c r="AB62" s="179"/>
      <c r="AC62" s="103" t="s">
        <v>25</v>
      </c>
      <c r="AD62" s="104">
        <v>54295</v>
      </c>
      <c r="AE62" s="38"/>
    </row>
    <row r="63" spans="1:31" ht="18" customHeight="1" x14ac:dyDescent="0.3">
      <c r="A63" s="9"/>
      <c r="I63" s="10"/>
      <c r="Z63" s="185" t="s">
        <v>25</v>
      </c>
      <c r="AA63" s="186">
        <v>17589</v>
      </c>
      <c r="AB63" s="179"/>
      <c r="AC63" s="105" t="s">
        <v>18</v>
      </c>
      <c r="AD63" s="106">
        <v>115463</v>
      </c>
      <c r="AE63" s="38"/>
    </row>
    <row r="64" spans="1:31" ht="27" customHeight="1" x14ac:dyDescent="0.3">
      <c r="A64" s="11" t="s">
        <v>212</v>
      </c>
      <c r="I64" s="10"/>
      <c r="Z64" s="187" t="s">
        <v>18</v>
      </c>
      <c r="AA64" s="188">
        <v>65495</v>
      </c>
      <c r="AB64" s="179"/>
    </row>
    <row r="65" spans="1:9" ht="18" customHeight="1" x14ac:dyDescent="0.3">
      <c r="A65" s="9"/>
      <c r="I65" s="10"/>
    </row>
    <row r="66" spans="1:9" ht="18" customHeight="1" x14ac:dyDescent="0.3">
      <c r="A66" s="9"/>
      <c r="I66" s="4"/>
    </row>
    <row r="67" spans="1:9" ht="18" customHeight="1" x14ac:dyDescent="0.3">
      <c r="A67" s="9"/>
      <c r="I67" s="10"/>
    </row>
    <row r="68" spans="1:9" ht="18" customHeight="1" x14ac:dyDescent="0.3">
      <c r="A68" s="9"/>
      <c r="I68" s="10"/>
    </row>
    <row r="69" spans="1:9" ht="18" customHeight="1" x14ac:dyDescent="0.3">
      <c r="A69" s="9"/>
      <c r="I69" s="10"/>
    </row>
    <row r="70" spans="1:9" ht="18" customHeight="1" x14ac:dyDescent="0.3">
      <c r="A70" s="9"/>
      <c r="I70" s="10"/>
    </row>
    <row r="71" spans="1:9" ht="18" customHeight="1" x14ac:dyDescent="0.3">
      <c r="A71" s="9"/>
      <c r="I71" s="10"/>
    </row>
    <row r="72" spans="1:9" ht="18" customHeight="1" x14ac:dyDescent="0.3">
      <c r="A72" s="9"/>
      <c r="I72" s="10"/>
    </row>
    <row r="73" spans="1:9" ht="18" customHeight="1" x14ac:dyDescent="0.3">
      <c r="A73" s="9"/>
      <c r="I73" s="10"/>
    </row>
    <row r="74" spans="1:9" ht="18" customHeight="1" x14ac:dyDescent="0.3">
      <c r="A74" s="9"/>
      <c r="I74" s="10"/>
    </row>
    <row r="75" spans="1:9" ht="18" customHeight="1" x14ac:dyDescent="0.3">
      <c r="A75" s="9"/>
      <c r="I75" s="10"/>
    </row>
    <row r="76" spans="1:9" ht="18" customHeight="1" x14ac:dyDescent="0.3">
      <c r="A76" s="9"/>
      <c r="I76" s="10"/>
    </row>
    <row r="81" spans="1:37" x14ac:dyDescent="0.3">
      <c r="R81" s="323" t="s">
        <v>113</v>
      </c>
      <c r="S81" s="323"/>
      <c r="T81" s="179"/>
    </row>
    <row r="82" spans="1:37" ht="27.75" customHeight="1" x14ac:dyDescent="0.3">
      <c r="A82" s="1" t="s">
        <v>158</v>
      </c>
      <c r="R82" s="180" t="s">
        <v>114</v>
      </c>
      <c r="S82" s="179"/>
      <c r="T82" s="179"/>
      <c r="Y82" s="323" t="s">
        <v>113</v>
      </c>
      <c r="Z82" s="323"/>
      <c r="AA82" s="179"/>
      <c r="AI82" s="323" t="s">
        <v>113</v>
      </c>
      <c r="AJ82" s="323"/>
      <c r="AK82" s="179"/>
    </row>
    <row r="83" spans="1:37" ht="35.25" customHeight="1" x14ac:dyDescent="0.3">
      <c r="A83" s="47" t="s">
        <v>26</v>
      </c>
      <c r="B83" s="50">
        <v>2019</v>
      </c>
      <c r="C83" s="48">
        <v>2020</v>
      </c>
      <c r="D83" s="51">
        <v>2021</v>
      </c>
      <c r="E83" s="51">
        <v>2022</v>
      </c>
      <c r="F83" s="49">
        <v>2023</v>
      </c>
      <c r="G83" s="49">
        <v>2024</v>
      </c>
      <c r="H83" s="49">
        <v>2025</v>
      </c>
      <c r="R83" s="181" t="s">
        <v>118</v>
      </c>
      <c r="S83" s="182" t="s">
        <v>186</v>
      </c>
      <c r="T83" s="179"/>
      <c r="Y83" s="180" t="s">
        <v>114</v>
      </c>
      <c r="Z83" s="179"/>
      <c r="AA83" s="179"/>
      <c r="AI83" s="180" t="s">
        <v>114</v>
      </c>
      <c r="AJ83" s="179"/>
      <c r="AK83" s="179"/>
    </row>
    <row r="84" spans="1:37" ht="18" customHeight="1" x14ac:dyDescent="0.3">
      <c r="A84" s="7" t="s">
        <v>27</v>
      </c>
      <c r="B84" s="20">
        <v>25142</v>
      </c>
      <c r="C84" s="23">
        <v>11993</v>
      </c>
      <c r="D84" s="23">
        <v>16228</v>
      </c>
      <c r="E84" s="52">
        <v>14457</v>
      </c>
      <c r="F84" s="107">
        <v>16161</v>
      </c>
      <c r="G84" s="107">
        <v>22590</v>
      </c>
      <c r="H84" s="107">
        <v>20585</v>
      </c>
      <c r="I84" s="4">
        <f>H84/$H$86</f>
        <v>0.15505423320277192</v>
      </c>
      <c r="R84" s="183" t="s">
        <v>213</v>
      </c>
      <c r="S84" s="184">
        <v>20585</v>
      </c>
      <c r="T84" s="179"/>
      <c r="Y84" s="181" t="s">
        <v>183</v>
      </c>
      <c r="Z84" s="182" t="s">
        <v>115</v>
      </c>
      <c r="AA84" s="179"/>
      <c r="AI84" s="181" t="s">
        <v>118</v>
      </c>
      <c r="AJ84" s="182" t="s">
        <v>190</v>
      </c>
      <c r="AK84" s="179"/>
    </row>
    <row r="85" spans="1:37" ht="18" customHeight="1" x14ac:dyDescent="0.3">
      <c r="A85" s="7" t="s">
        <v>25</v>
      </c>
      <c r="B85" s="20">
        <v>135791</v>
      </c>
      <c r="C85" s="23">
        <v>111010</v>
      </c>
      <c r="D85" s="23">
        <v>127929</v>
      </c>
      <c r="E85" s="52">
        <v>101006</v>
      </c>
      <c r="F85" s="107">
        <v>86340</v>
      </c>
      <c r="G85" s="107">
        <v>104364</v>
      </c>
      <c r="H85" s="107">
        <v>112175</v>
      </c>
      <c r="I85" s="4">
        <f t="shared" ref="I85:I86" si="3">H85/$H$86</f>
        <v>0.8449457667972281</v>
      </c>
      <c r="R85" s="185" t="s">
        <v>214</v>
      </c>
      <c r="S85" s="186">
        <v>112175</v>
      </c>
      <c r="T85" s="179"/>
      <c r="Y85" s="183" t="s">
        <v>184</v>
      </c>
      <c r="Z85" s="184">
        <v>22590</v>
      </c>
      <c r="AA85" s="179"/>
      <c r="AI85" s="183" t="s">
        <v>184</v>
      </c>
      <c r="AJ85" s="184">
        <v>10714</v>
      </c>
      <c r="AK85" s="179"/>
    </row>
    <row r="86" spans="1:37" ht="18" customHeight="1" x14ac:dyDescent="0.3">
      <c r="A86" s="8" t="s">
        <v>18</v>
      </c>
      <c r="B86" s="21">
        <v>160933</v>
      </c>
      <c r="C86" s="26">
        <v>123003</v>
      </c>
      <c r="D86" s="26">
        <v>144157</v>
      </c>
      <c r="E86" s="53">
        <v>115463</v>
      </c>
      <c r="F86" s="108">
        <v>102501</v>
      </c>
      <c r="G86" s="108">
        <v>126954</v>
      </c>
      <c r="H86" s="108">
        <v>132760</v>
      </c>
      <c r="I86" s="4">
        <f t="shared" si="3"/>
        <v>1</v>
      </c>
      <c r="R86" s="187" t="s">
        <v>18</v>
      </c>
      <c r="S86" s="188">
        <v>132760</v>
      </c>
      <c r="T86" s="179"/>
      <c r="Y86" s="185" t="s">
        <v>185</v>
      </c>
      <c r="Z86" s="186">
        <v>104364</v>
      </c>
      <c r="AA86" s="179"/>
      <c r="AI86" s="185" t="s">
        <v>185</v>
      </c>
      <c r="AJ86" s="186">
        <v>54781</v>
      </c>
      <c r="AK86" s="179"/>
    </row>
    <row r="87" spans="1:37" ht="18" customHeight="1" x14ac:dyDescent="0.3">
      <c r="A87" s="9"/>
      <c r="I87" s="4"/>
      <c r="Y87" s="187" t="s">
        <v>18</v>
      </c>
      <c r="Z87" s="188">
        <v>126954</v>
      </c>
      <c r="AA87" s="179"/>
      <c r="AI87" s="187" t="s">
        <v>18</v>
      </c>
      <c r="AJ87" s="188">
        <v>65495</v>
      </c>
      <c r="AK87" s="179"/>
    </row>
    <row r="88" spans="1:37" ht="18" customHeight="1" x14ac:dyDescent="0.3">
      <c r="A88" s="9"/>
      <c r="I88" s="4"/>
    </row>
    <row r="89" spans="1:37" ht="27.75" customHeight="1" x14ac:dyDescent="0.3">
      <c r="A89" s="11" t="s">
        <v>215</v>
      </c>
      <c r="I89" s="4"/>
    </row>
    <row r="90" spans="1:37" ht="18" customHeight="1" x14ac:dyDescent="0.3">
      <c r="A90" s="9"/>
      <c r="I90" s="4"/>
    </row>
    <row r="91" spans="1:37" ht="18" customHeight="1" x14ac:dyDescent="0.3">
      <c r="A91" s="9"/>
      <c r="I91" s="4"/>
    </row>
    <row r="92" spans="1:37" ht="18" customHeight="1" x14ac:dyDescent="0.3">
      <c r="A92" s="9"/>
      <c r="I92" s="4"/>
    </row>
    <row r="93" spans="1:37" ht="18" customHeight="1" x14ac:dyDescent="0.3">
      <c r="A93" s="9"/>
      <c r="I93" s="4"/>
    </row>
    <row r="94" spans="1:37" ht="18" customHeight="1" x14ac:dyDescent="0.3">
      <c r="A94" s="9"/>
      <c r="I94" s="4"/>
    </row>
    <row r="95" spans="1:37" ht="18" customHeight="1" x14ac:dyDescent="0.3">
      <c r="A95" s="9"/>
      <c r="I95" s="4"/>
    </row>
    <row r="96" spans="1:37" ht="18" customHeight="1" x14ac:dyDescent="0.3">
      <c r="A96" s="9"/>
      <c r="I96" s="4"/>
    </row>
    <row r="97" spans="1:34" ht="18" customHeight="1" x14ac:dyDescent="0.3">
      <c r="A97" s="9"/>
      <c r="I97" s="4"/>
    </row>
    <row r="98" spans="1:34" ht="18" customHeight="1" x14ac:dyDescent="0.3">
      <c r="A98" s="9"/>
      <c r="I98" s="4"/>
    </row>
    <row r="105" spans="1:34" ht="24.75" customHeight="1" thickBot="1" x14ac:dyDescent="0.35">
      <c r="A105" s="1" t="s">
        <v>159</v>
      </c>
    </row>
    <row r="106" spans="1:34" ht="35.25" customHeight="1" thickTop="1" x14ac:dyDescent="0.3">
      <c r="A106" s="54" t="s">
        <v>28</v>
      </c>
      <c r="B106" s="55">
        <v>2019</v>
      </c>
      <c r="C106" s="56">
        <v>2020</v>
      </c>
      <c r="D106" s="57">
        <v>2021</v>
      </c>
      <c r="E106" s="51">
        <v>2022</v>
      </c>
      <c r="F106" s="49">
        <v>2023</v>
      </c>
      <c r="G106" s="49">
        <v>2024</v>
      </c>
      <c r="H106" s="49">
        <v>2025</v>
      </c>
      <c r="L106" s="323"/>
      <c r="M106" s="323"/>
      <c r="N106" s="179"/>
      <c r="X106" s="330" t="s">
        <v>121</v>
      </c>
      <c r="Y106" s="331"/>
      <c r="Z106" s="336" t="s">
        <v>118</v>
      </c>
      <c r="AA106" s="337"/>
      <c r="AB106" s="337"/>
      <c r="AC106" s="338"/>
      <c r="AD106" s="38"/>
      <c r="AF106" s="324" t="s">
        <v>113</v>
      </c>
      <c r="AG106" s="324"/>
      <c r="AH106" s="38"/>
    </row>
    <row r="107" spans="1:34" ht="18" customHeight="1" thickBot="1" x14ac:dyDescent="0.35">
      <c r="A107" s="7" t="s">
        <v>29</v>
      </c>
      <c r="B107" s="189">
        <v>1941</v>
      </c>
      <c r="C107" s="190">
        <v>1421</v>
      </c>
      <c r="D107" s="190">
        <v>1689</v>
      </c>
      <c r="E107" s="190">
        <v>1269</v>
      </c>
      <c r="F107" s="191">
        <v>1056</v>
      </c>
      <c r="G107" s="192">
        <v>1096</v>
      </c>
      <c r="H107" s="192">
        <v>794</v>
      </c>
      <c r="I107" s="24">
        <f>H107/$H$112</f>
        <v>5.9807170834588735E-3</v>
      </c>
      <c r="L107" s="323" t="s">
        <v>113</v>
      </c>
      <c r="M107" s="323"/>
      <c r="N107" s="179"/>
      <c r="X107" s="332"/>
      <c r="Y107" s="333"/>
      <c r="Z107" s="339" t="s">
        <v>119</v>
      </c>
      <c r="AA107" s="340"/>
      <c r="AB107" s="340" t="s">
        <v>25</v>
      </c>
      <c r="AC107" s="341"/>
      <c r="AD107" s="38"/>
      <c r="AF107" s="39" t="s">
        <v>114</v>
      </c>
      <c r="AG107" s="38"/>
      <c r="AH107" s="38"/>
    </row>
    <row r="108" spans="1:34" ht="18" customHeight="1" thickTop="1" thickBot="1" x14ac:dyDescent="0.35">
      <c r="A108" s="7" t="s">
        <v>30</v>
      </c>
      <c r="B108" s="189">
        <v>3449</v>
      </c>
      <c r="C108" s="190">
        <v>2083</v>
      </c>
      <c r="D108" s="190">
        <v>2025</v>
      </c>
      <c r="E108" s="190">
        <v>1938</v>
      </c>
      <c r="F108" s="191">
        <v>1763</v>
      </c>
      <c r="G108" s="192">
        <v>2508</v>
      </c>
      <c r="H108" s="192">
        <v>1198</v>
      </c>
      <c r="I108" s="24">
        <f t="shared" ref="I108:I112" si="4">H108/$H$112</f>
        <v>9.0238023501054542E-3</v>
      </c>
      <c r="L108" s="180" t="s">
        <v>114</v>
      </c>
      <c r="M108" s="179"/>
      <c r="N108" s="179"/>
      <c r="X108" s="334"/>
      <c r="Y108" s="335"/>
      <c r="Z108" s="72" t="s">
        <v>122</v>
      </c>
      <c r="AA108" s="73" t="s">
        <v>124</v>
      </c>
      <c r="AB108" s="73" t="s">
        <v>122</v>
      </c>
      <c r="AC108" s="74" t="s">
        <v>124</v>
      </c>
      <c r="AD108" s="38"/>
      <c r="AF108" s="329" t="s">
        <v>120</v>
      </c>
      <c r="AG108" s="40" t="s">
        <v>115</v>
      </c>
      <c r="AH108" s="38"/>
    </row>
    <row r="109" spans="1:34" ht="18" customHeight="1" thickTop="1" x14ac:dyDescent="0.3">
      <c r="A109" s="7" t="s">
        <v>31</v>
      </c>
      <c r="B109" s="189">
        <v>3127</v>
      </c>
      <c r="C109" s="190">
        <v>2071</v>
      </c>
      <c r="D109" s="190">
        <v>2258</v>
      </c>
      <c r="E109" s="190">
        <v>1940</v>
      </c>
      <c r="F109" s="191">
        <v>1422</v>
      </c>
      <c r="G109" s="192">
        <v>1586</v>
      </c>
      <c r="H109" s="192">
        <v>1142</v>
      </c>
      <c r="I109" s="24">
        <f t="shared" si="4"/>
        <v>8.6019885507683039E-3</v>
      </c>
      <c r="L109" s="181" t="s">
        <v>216</v>
      </c>
      <c r="M109" s="182" t="s">
        <v>186</v>
      </c>
      <c r="N109" s="179"/>
      <c r="X109" s="326" t="s">
        <v>125</v>
      </c>
      <c r="Y109" s="75" t="s">
        <v>29</v>
      </c>
      <c r="Z109" s="76">
        <v>408</v>
      </c>
      <c r="AA109" s="77">
        <v>0.68571428571428572</v>
      </c>
      <c r="AB109" s="78">
        <v>187</v>
      </c>
      <c r="AC109" s="79">
        <v>0.31428571428571428</v>
      </c>
      <c r="AD109" s="90">
        <f t="shared" ref="AD109:AE114" si="5">Z109+AB109</f>
        <v>595</v>
      </c>
      <c r="AE109" s="91">
        <f t="shared" si="5"/>
        <v>1</v>
      </c>
      <c r="AF109" s="41" t="s">
        <v>29</v>
      </c>
      <c r="AG109" s="42">
        <v>595</v>
      </c>
      <c r="AH109" s="38"/>
    </row>
    <row r="110" spans="1:34" ht="18" customHeight="1" x14ac:dyDescent="0.3">
      <c r="A110" s="7" t="s">
        <v>32</v>
      </c>
      <c r="B110" s="189">
        <v>57</v>
      </c>
      <c r="C110" s="190">
        <v>68</v>
      </c>
      <c r="D110" s="190">
        <v>177</v>
      </c>
      <c r="E110" s="190">
        <v>259</v>
      </c>
      <c r="F110" s="191">
        <v>136</v>
      </c>
      <c r="G110" s="192">
        <v>97</v>
      </c>
      <c r="H110" s="192">
        <v>42</v>
      </c>
      <c r="I110" s="24">
        <f t="shared" si="4"/>
        <v>3.1636034950286232E-4</v>
      </c>
      <c r="L110" s="183" t="s">
        <v>217</v>
      </c>
      <c r="M110" s="184">
        <v>42</v>
      </c>
      <c r="N110" s="179"/>
      <c r="X110" s="327"/>
      <c r="Y110" s="80" t="s">
        <v>30</v>
      </c>
      <c r="Z110" s="81">
        <v>231</v>
      </c>
      <c r="AA110" s="82">
        <v>0.19510135135135134</v>
      </c>
      <c r="AB110" s="83">
        <v>953</v>
      </c>
      <c r="AC110" s="84">
        <v>0.80489864864864868</v>
      </c>
      <c r="AD110" s="90">
        <f t="shared" si="5"/>
        <v>1184</v>
      </c>
      <c r="AE110" s="91">
        <f t="shared" si="5"/>
        <v>1</v>
      </c>
      <c r="AF110" s="43" t="s">
        <v>30</v>
      </c>
      <c r="AG110" s="44">
        <v>1184</v>
      </c>
      <c r="AH110" s="38"/>
    </row>
    <row r="111" spans="1:34" ht="18" customHeight="1" x14ac:dyDescent="0.3">
      <c r="A111" s="7" t="s">
        <v>25</v>
      </c>
      <c r="B111" s="189">
        <v>152359</v>
      </c>
      <c r="C111" s="190">
        <v>117360</v>
      </c>
      <c r="D111" s="190">
        <v>138008</v>
      </c>
      <c r="E111" s="190">
        <v>110057</v>
      </c>
      <c r="F111" s="191">
        <v>98124</v>
      </c>
      <c r="G111" s="192">
        <v>121667</v>
      </c>
      <c r="H111" s="192">
        <v>129584</v>
      </c>
      <c r="I111" s="24">
        <f t="shared" si="4"/>
        <v>0.9760771316661645</v>
      </c>
      <c r="L111" s="185" t="s">
        <v>218</v>
      </c>
      <c r="M111" s="186">
        <v>1142</v>
      </c>
      <c r="N111" s="179"/>
      <c r="X111" s="327"/>
      <c r="Y111" s="80" t="s">
        <v>31</v>
      </c>
      <c r="Z111" s="81">
        <v>265</v>
      </c>
      <c r="AA111" s="82">
        <v>0.21302250803858519</v>
      </c>
      <c r="AB111" s="83">
        <v>979</v>
      </c>
      <c r="AC111" s="84">
        <v>0.78697749196141475</v>
      </c>
      <c r="AD111" s="90">
        <f t="shared" si="5"/>
        <v>1244</v>
      </c>
      <c r="AE111" s="91">
        <f t="shared" si="5"/>
        <v>1</v>
      </c>
      <c r="AF111" s="43" t="s">
        <v>31</v>
      </c>
      <c r="AG111" s="44">
        <v>1244</v>
      </c>
      <c r="AH111" s="38"/>
    </row>
    <row r="112" spans="1:34" ht="18" customHeight="1" x14ac:dyDescent="0.3">
      <c r="A112" s="8" t="s">
        <v>18</v>
      </c>
      <c r="B112" s="193">
        <v>160933</v>
      </c>
      <c r="C112" s="194">
        <v>123003</v>
      </c>
      <c r="D112" s="194">
        <v>144157</v>
      </c>
      <c r="E112" s="194">
        <v>115463</v>
      </c>
      <c r="F112" s="195">
        <f>SUM(F107:F111)</f>
        <v>102501</v>
      </c>
      <c r="G112" s="195">
        <f>SUM(G107:G111)</f>
        <v>126954</v>
      </c>
      <c r="H112" s="195">
        <f>SUM(H107:H111)</f>
        <v>132760</v>
      </c>
      <c r="I112" s="24">
        <f t="shared" si="4"/>
        <v>1</v>
      </c>
      <c r="L112" s="185" t="s">
        <v>219</v>
      </c>
      <c r="M112" s="186">
        <v>1198</v>
      </c>
      <c r="N112" s="179"/>
      <c r="X112" s="327"/>
      <c r="Y112" s="80" t="s">
        <v>32</v>
      </c>
      <c r="Z112" s="81">
        <v>17</v>
      </c>
      <c r="AA112" s="82">
        <v>8.3333333333333315E-2</v>
      </c>
      <c r="AB112" s="83">
        <v>187</v>
      </c>
      <c r="AC112" s="84">
        <v>0.91666666666666652</v>
      </c>
      <c r="AD112" s="90">
        <f t="shared" si="5"/>
        <v>204</v>
      </c>
      <c r="AE112" s="91">
        <f t="shared" si="5"/>
        <v>0.99999999999999978</v>
      </c>
      <c r="AF112" s="43" t="s">
        <v>32</v>
      </c>
      <c r="AG112" s="44">
        <v>204</v>
      </c>
      <c r="AH112" s="38"/>
    </row>
    <row r="113" spans="1:34" ht="22.8" x14ac:dyDescent="0.3">
      <c r="L113" s="185" t="s">
        <v>220</v>
      </c>
      <c r="M113" s="186">
        <v>794</v>
      </c>
      <c r="N113" s="179"/>
      <c r="X113" s="327"/>
      <c r="Y113" s="80" t="s">
        <v>25</v>
      </c>
      <c r="Z113" s="81">
        <v>7739</v>
      </c>
      <c r="AA113" s="82">
        <v>0.11228472353205751</v>
      </c>
      <c r="AB113" s="83">
        <v>61184</v>
      </c>
      <c r="AC113" s="84">
        <v>0.88771527646794235</v>
      </c>
      <c r="AD113" s="90">
        <f t="shared" si="5"/>
        <v>68923</v>
      </c>
      <c r="AE113" s="91">
        <f t="shared" si="5"/>
        <v>0.99999999999999989</v>
      </c>
      <c r="AF113" s="43" t="s">
        <v>25</v>
      </c>
      <c r="AG113" s="44">
        <v>68923</v>
      </c>
      <c r="AH113" s="38"/>
    </row>
    <row r="114" spans="1:34" ht="23.4" thickBot="1" x14ac:dyDescent="0.35">
      <c r="L114" s="185" t="s">
        <v>25</v>
      </c>
      <c r="M114" s="186">
        <v>129584</v>
      </c>
      <c r="N114" s="179"/>
      <c r="X114" s="328"/>
      <c r="Y114" s="85" t="s">
        <v>18</v>
      </c>
      <c r="Z114" s="86">
        <v>8660</v>
      </c>
      <c r="AA114" s="87">
        <v>0.12002772002772004</v>
      </c>
      <c r="AB114" s="88">
        <v>63490</v>
      </c>
      <c r="AC114" s="89">
        <v>0.87997227997228</v>
      </c>
      <c r="AD114" s="90">
        <f t="shared" si="5"/>
        <v>72150</v>
      </c>
      <c r="AE114" s="91">
        <f t="shared" si="5"/>
        <v>1</v>
      </c>
      <c r="AF114" s="45" t="s">
        <v>18</v>
      </c>
      <c r="AG114" s="46">
        <v>72150</v>
      </c>
      <c r="AH114" s="38"/>
    </row>
    <row r="115" spans="1:34" ht="33" customHeight="1" thickTop="1" x14ac:dyDescent="0.3">
      <c r="A115" s="1" t="s">
        <v>221</v>
      </c>
      <c r="L115" s="187" t="s">
        <v>18</v>
      </c>
      <c r="M115" s="188">
        <v>132760</v>
      </c>
      <c r="N115" s="179"/>
    </row>
  </sheetData>
  <mergeCells count="21">
    <mergeCell ref="S56:T56"/>
    <mergeCell ref="R81:S81"/>
    <mergeCell ref="L107:M107"/>
    <mergeCell ref="Y3:Z3"/>
    <mergeCell ref="R2:S2"/>
    <mergeCell ref="S33:T33"/>
    <mergeCell ref="L106:M106"/>
    <mergeCell ref="X109:X114"/>
    <mergeCell ref="AF106:AG106"/>
    <mergeCell ref="AF108"/>
    <mergeCell ref="X106:Y108"/>
    <mergeCell ref="Z106:AC106"/>
    <mergeCell ref="Z107:AA107"/>
    <mergeCell ref="AB107:AC107"/>
    <mergeCell ref="AI82:AJ82"/>
    <mergeCell ref="AA28:AB28"/>
    <mergeCell ref="Z56:AA56"/>
    <mergeCell ref="Y82:Z82"/>
    <mergeCell ref="Y1:Z1"/>
    <mergeCell ref="AC57:AD57"/>
    <mergeCell ref="Z58:AA58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/>
  </sheetPr>
  <dimension ref="A1:AJ264"/>
  <sheetViews>
    <sheetView zoomScale="130" zoomScaleNormal="130" workbookViewId="0">
      <selection activeCell="D54" sqref="D54:D56"/>
    </sheetView>
  </sheetViews>
  <sheetFormatPr defaultRowHeight="14.4" x14ac:dyDescent="0.3"/>
  <cols>
    <col min="1" max="1" width="10.6640625" customWidth="1"/>
    <col min="2" max="2" width="48.109375" customWidth="1"/>
    <col min="3" max="3" width="9.44140625" customWidth="1"/>
    <col min="4" max="4" width="11.33203125" customWidth="1"/>
    <col min="5" max="5" width="10.88671875" customWidth="1"/>
    <col min="6" max="6" width="10.5546875" customWidth="1"/>
    <col min="7" max="7" width="8.88671875" customWidth="1"/>
    <col min="8" max="8" width="9.44140625" customWidth="1"/>
    <col min="9" max="9" width="9.109375" customWidth="1"/>
    <col min="19" max="19" width="33.109375" customWidth="1"/>
    <col min="21" max="21" width="9.109375" customWidth="1"/>
  </cols>
  <sheetData>
    <row r="1" spans="1:29" ht="33.75" customHeight="1" x14ac:dyDescent="0.3">
      <c r="A1" s="1" t="s">
        <v>223</v>
      </c>
      <c r="B1" s="137"/>
      <c r="C1" s="137"/>
      <c r="D1" s="137"/>
      <c r="E1" s="137"/>
      <c r="F1" s="137"/>
      <c r="G1" s="137"/>
    </row>
    <row r="2" spans="1:29" ht="20.25" customHeight="1" x14ac:dyDescent="0.3">
      <c r="A2" s="360" t="s">
        <v>33</v>
      </c>
      <c r="B2" s="361" t="s">
        <v>34</v>
      </c>
      <c r="C2" s="363" t="s">
        <v>35</v>
      </c>
      <c r="D2" s="363"/>
      <c r="E2" s="363"/>
      <c r="F2" s="363" t="s">
        <v>18</v>
      </c>
      <c r="G2" s="363"/>
      <c r="T2" s="239" t="s">
        <v>121</v>
      </c>
      <c r="U2" s="239"/>
      <c r="V2" s="223"/>
    </row>
    <row r="3" spans="1:29" ht="28.5" customHeight="1" x14ac:dyDescent="0.3">
      <c r="A3" s="360"/>
      <c r="B3" s="362"/>
      <c r="C3" s="136" t="s">
        <v>23</v>
      </c>
      <c r="D3" s="136" t="s">
        <v>24</v>
      </c>
      <c r="E3" s="136" t="s">
        <v>25</v>
      </c>
      <c r="F3" s="136" t="s">
        <v>36</v>
      </c>
      <c r="G3" s="136" t="s">
        <v>33</v>
      </c>
      <c r="T3" s="239"/>
      <c r="U3" s="239"/>
      <c r="V3" s="223"/>
      <c r="W3" s="342" t="s">
        <v>121</v>
      </c>
      <c r="X3" s="342"/>
      <c r="Y3" s="343"/>
      <c r="Z3" s="343"/>
      <c r="AA3" s="343"/>
      <c r="AB3" s="343"/>
      <c r="AC3" s="258"/>
    </row>
    <row r="4" spans="1:29" ht="18" customHeight="1" x14ac:dyDescent="0.3">
      <c r="A4" s="124">
        <v>1</v>
      </c>
      <c r="B4" s="275" t="s">
        <v>135</v>
      </c>
      <c r="C4" s="264">
        <v>0.46761668619383667</v>
      </c>
      <c r="D4" s="264">
        <v>0.29244434756546145</v>
      </c>
      <c r="E4" s="264">
        <v>0.23993896624070188</v>
      </c>
      <c r="F4" s="264">
        <v>1</v>
      </c>
      <c r="G4" s="265">
        <v>36701</v>
      </c>
      <c r="I4" s="12">
        <f>(G4/G$14)*100</f>
        <v>27.644621874058451</v>
      </c>
      <c r="T4" s="240"/>
      <c r="U4" s="240"/>
      <c r="V4" s="223"/>
      <c r="W4" s="342"/>
      <c r="X4" s="342"/>
      <c r="Y4" s="343"/>
      <c r="Z4" s="343"/>
      <c r="AA4" s="343"/>
      <c r="AB4" s="343" t="s">
        <v>18</v>
      </c>
      <c r="AC4" s="258"/>
    </row>
    <row r="5" spans="1:29" ht="18" customHeight="1" x14ac:dyDescent="0.3">
      <c r="A5" s="124">
        <v>2</v>
      </c>
      <c r="B5" s="276" t="s">
        <v>131</v>
      </c>
      <c r="C5" s="268">
        <v>0.59728777295324398</v>
      </c>
      <c r="D5" s="268">
        <v>0.11380655717072558</v>
      </c>
      <c r="E5" s="268">
        <v>0.28890566987603045</v>
      </c>
      <c r="F5" s="268">
        <v>1</v>
      </c>
      <c r="G5" s="269">
        <v>31782</v>
      </c>
      <c r="I5" s="12">
        <f t="shared" ref="I5:I14" si="0">(G5/G$14)*100</f>
        <v>23.939439590238024</v>
      </c>
      <c r="T5" s="224" t="s">
        <v>188</v>
      </c>
      <c r="U5" s="224" t="s">
        <v>135</v>
      </c>
      <c r="V5" s="223"/>
      <c r="W5" s="344"/>
      <c r="X5" s="344"/>
      <c r="Y5" s="345" t="s">
        <v>124</v>
      </c>
      <c r="Z5" s="345" t="s">
        <v>124</v>
      </c>
      <c r="AA5" s="345"/>
      <c r="AB5" s="345" t="s">
        <v>122</v>
      </c>
      <c r="AC5" s="258"/>
    </row>
    <row r="6" spans="1:29" ht="18" customHeight="1" x14ac:dyDescent="0.3">
      <c r="A6" s="124">
        <v>3</v>
      </c>
      <c r="B6" s="276" t="s">
        <v>133</v>
      </c>
      <c r="C6" s="268">
        <v>0.77017192279295432</v>
      </c>
      <c r="D6" s="268">
        <v>1.1039623105860845E-2</v>
      </c>
      <c r="E6" s="268">
        <v>0.21878845410118483</v>
      </c>
      <c r="F6" s="268">
        <v>1</v>
      </c>
      <c r="G6" s="269">
        <v>28443</v>
      </c>
      <c r="I6" s="12">
        <f t="shared" si="0"/>
        <v>21.424374811690271</v>
      </c>
      <c r="T6" s="229"/>
      <c r="U6" s="229" t="s">
        <v>131</v>
      </c>
      <c r="V6" s="223"/>
      <c r="W6" s="263" t="s">
        <v>222</v>
      </c>
      <c r="X6" s="263" t="s">
        <v>46</v>
      </c>
      <c r="Y6" s="264">
        <v>0</v>
      </c>
      <c r="Z6" s="264">
        <v>0</v>
      </c>
      <c r="AA6" s="264"/>
      <c r="AB6" s="265">
        <v>0</v>
      </c>
      <c r="AC6" s="258"/>
    </row>
    <row r="7" spans="1:29" ht="18" customHeight="1" x14ac:dyDescent="0.3">
      <c r="A7" s="124">
        <v>4</v>
      </c>
      <c r="B7" s="276" t="s">
        <v>134</v>
      </c>
      <c r="C7" s="268">
        <v>0.7869146175707401</v>
      </c>
      <c r="D7" s="268">
        <v>1.9646608179908563E-2</v>
      </c>
      <c r="E7" s="268">
        <v>0.1934387742493513</v>
      </c>
      <c r="F7" s="268">
        <v>1</v>
      </c>
      <c r="G7" s="269">
        <v>16186</v>
      </c>
      <c r="I7" s="12">
        <f t="shared" si="0"/>
        <v>12.191925278698402</v>
      </c>
      <c r="T7" s="229"/>
      <c r="U7" s="229" t="s">
        <v>133</v>
      </c>
      <c r="V7" s="223"/>
      <c r="W7" s="267"/>
      <c r="X7" s="267" t="s">
        <v>128</v>
      </c>
      <c r="Y7" s="268">
        <v>6.2701705855232825E-2</v>
      </c>
      <c r="Z7" s="268">
        <v>1</v>
      </c>
      <c r="AA7" s="268"/>
      <c r="AB7" s="269">
        <v>2169</v>
      </c>
      <c r="AC7" s="258"/>
    </row>
    <row r="8" spans="1:29" ht="18" customHeight="1" x14ac:dyDescent="0.3">
      <c r="A8" s="124">
        <v>5</v>
      </c>
      <c r="B8" s="276" t="s">
        <v>129</v>
      </c>
      <c r="C8" s="268">
        <v>0.48910097796630142</v>
      </c>
      <c r="D8" s="268">
        <v>0.1833392246965948</v>
      </c>
      <c r="E8" s="268">
        <v>0.32755979733710383</v>
      </c>
      <c r="F8" s="268">
        <v>1</v>
      </c>
      <c r="G8" s="269">
        <v>8487</v>
      </c>
      <c r="I8" s="12">
        <f t="shared" si="0"/>
        <v>6.3927387767399813</v>
      </c>
      <c r="K8" s="12">
        <f>SUM(I4:I7)</f>
        <v>85.200361554685159</v>
      </c>
      <c r="T8" s="229"/>
      <c r="U8" s="229" t="s">
        <v>134</v>
      </c>
      <c r="V8" s="223"/>
      <c r="W8" s="267"/>
      <c r="X8" s="267" t="s">
        <v>66</v>
      </c>
      <c r="Y8" s="268">
        <v>0.19111522443313281</v>
      </c>
      <c r="Z8" s="268">
        <v>1</v>
      </c>
      <c r="AA8" s="268"/>
      <c r="AB8" s="269">
        <v>2161</v>
      </c>
      <c r="AC8" s="258"/>
    </row>
    <row r="9" spans="1:29" ht="18" customHeight="1" x14ac:dyDescent="0.3">
      <c r="A9" s="124">
        <v>6</v>
      </c>
      <c r="B9" s="276" t="s">
        <v>130</v>
      </c>
      <c r="C9" s="268">
        <v>0.30577223088923555</v>
      </c>
      <c r="D9" s="268">
        <v>0.31201248049921998</v>
      </c>
      <c r="E9" s="268">
        <v>0.38221528861154447</v>
      </c>
      <c r="F9" s="268">
        <v>1</v>
      </c>
      <c r="G9" s="269">
        <v>5769</v>
      </c>
      <c r="I9" s="12">
        <f t="shared" si="0"/>
        <v>4.3454353721000301</v>
      </c>
      <c r="T9" s="229"/>
      <c r="U9" s="229" t="s">
        <v>129</v>
      </c>
      <c r="V9" s="223"/>
      <c r="W9" s="267"/>
      <c r="X9" s="267" t="s">
        <v>129</v>
      </c>
      <c r="Y9" s="268">
        <v>0.1833392246965948</v>
      </c>
      <c r="Z9" s="268">
        <v>1</v>
      </c>
      <c r="AA9" s="268"/>
      <c r="AB9" s="269">
        <v>8487</v>
      </c>
      <c r="AC9" s="258"/>
    </row>
    <row r="10" spans="1:29" ht="18" customHeight="1" x14ac:dyDescent="0.3">
      <c r="A10" s="124">
        <v>7</v>
      </c>
      <c r="B10" s="276" t="s">
        <v>128</v>
      </c>
      <c r="C10" s="268">
        <v>0.54587367450437985</v>
      </c>
      <c r="D10" s="268">
        <v>6.2701705855232825E-2</v>
      </c>
      <c r="E10" s="268">
        <v>0.39142461964038733</v>
      </c>
      <c r="F10" s="268">
        <v>1</v>
      </c>
      <c r="G10" s="269">
        <v>2169</v>
      </c>
      <c r="I10" s="12">
        <f t="shared" si="0"/>
        <v>1.6337752335040676</v>
      </c>
      <c r="T10" s="229"/>
      <c r="U10" s="229" t="s">
        <v>130</v>
      </c>
      <c r="V10" s="223"/>
      <c r="W10" s="267"/>
      <c r="X10" s="267" t="s">
        <v>130</v>
      </c>
      <c r="Y10" s="268">
        <v>0.31201248049921998</v>
      </c>
      <c r="Z10" s="268">
        <v>1</v>
      </c>
      <c r="AA10" s="268"/>
      <c r="AB10" s="269">
        <v>5769</v>
      </c>
      <c r="AC10" s="258"/>
    </row>
    <row r="11" spans="1:29" ht="18" customHeight="1" x14ac:dyDescent="0.3">
      <c r="A11" s="124">
        <v>8</v>
      </c>
      <c r="B11" s="276" t="s">
        <v>66</v>
      </c>
      <c r="C11" s="268">
        <v>0.1989819527996298</v>
      </c>
      <c r="D11" s="268">
        <v>0.19111522443313281</v>
      </c>
      <c r="E11" s="268">
        <v>0.6099028227672374</v>
      </c>
      <c r="F11" s="268">
        <v>1</v>
      </c>
      <c r="G11" s="269">
        <v>2161</v>
      </c>
      <c r="I11" s="12">
        <f t="shared" si="0"/>
        <v>1.6277493220849655</v>
      </c>
      <c r="T11" s="229"/>
      <c r="U11" s="229" t="s">
        <v>128</v>
      </c>
      <c r="V11" s="223"/>
      <c r="W11" s="267"/>
      <c r="X11" s="267" t="s">
        <v>131</v>
      </c>
      <c r="Y11" s="268">
        <v>0.11380655717072558</v>
      </c>
      <c r="Z11" s="268">
        <v>1</v>
      </c>
      <c r="AA11" s="268"/>
      <c r="AB11" s="269">
        <v>31782</v>
      </c>
      <c r="AC11" s="258"/>
    </row>
    <row r="12" spans="1:29" ht="18" customHeight="1" x14ac:dyDescent="0.3">
      <c r="A12" s="124">
        <v>9</v>
      </c>
      <c r="B12" s="276" t="s">
        <v>132</v>
      </c>
      <c r="C12" s="268">
        <v>0.78907721280602638</v>
      </c>
      <c r="D12" s="268">
        <v>1.6949152542372881E-2</v>
      </c>
      <c r="E12" s="268">
        <v>0.19397363465160075</v>
      </c>
      <c r="F12" s="268">
        <v>1</v>
      </c>
      <c r="G12" s="269">
        <v>1062</v>
      </c>
      <c r="I12" s="12">
        <f t="shared" si="0"/>
        <v>0.79993974088580899</v>
      </c>
      <c r="T12" s="229"/>
      <c r="U12" s="229" t="s">
        <v>66</v>
      </c>
      <c r="V12" s="223"/>
      <c r="W12" s="267"/>
      <c r="X12" s="267" t="s">
        <v>132</v>
      </c>
      <c r="Y12" s="268">
        <v>1.6949152542372881E-2</v>
      </c>
      <c r="Z12" s="268">
        <v>1</v>
      </c>
      <c r="AA12" s="268"/>
      <c r="AB12" s="269">
        <v>1062</v>
      </c>
      <c r="AC12" s="258"/>
    </row>
    <row r="13" spans="1:29" ht="18" customHeight="1" x14ac:dyDescent="0.3">
      <c r="A13" s="124">
        <v>10</v>
      </c>
      <c r="B13" s="276" t="s">
        <v>46</v>
      </c>
      <c r="C13" s="268">
        <v>0</v>
      </c>
      <c r="D13" s="268">
        <v>0</v>
      </c>
      <c r="E13" s="268">
        <v>0</v>
      </c>
      <c r="F13" s="268">
        <v>0</v>
      </c>
      <c r="G13" s="269">
        <v>0</v>
      </c>
      <c r="I13" s="12">
        <f>(G13/G$14)*100</f>
        <v>0</v>
      </c>
      <c r="T13" s="229"/>
      <c r="U13" s="229" t="s">
        <v>132</v>
      </c>
      <c r="V13" s="223"/>
      <c r="W13" s="267"/>
      <c r="X13" s="267" t="s">
        <v>133</v>
      </c>
      <c r="Y13" s="268">
        <v>1.1039623105860845E-2</v>
      </c>
      <c r="Z13" s="268">
        <v>1</v>
      </c>
      <c r="AA13" s="268"/>
      <c r="AB13" s="269">
        <v>28443</v>
      </c>
      <c r="AC13" s="258"/>
    </row>
    <row r="14" spans="1:29" ht="18" customHeight="1" x14ac:dyDescent="0.3">
      <c r="A14" s="125"/>
      <c r="B14" s="277" t="s">
        <v>18</v>
      </c>
      <c r="C14" s="272">
        <v>0.59622627297378727</v>
      </c>
      <c r="D14" s="272">
        <v>0.14239981922265743</v>
      </c>
      <c r="E14" s="272">
        <v>0.26137390780355529</v>
      </c>
      <c r="F14" s="272">
        <v>1</v>
      </c>
      <c r="G14" s="273">
        <v>132760</v>
      </c>
      <c r="I14" s="12">
        <f t="shared" si="0"/>
        <v>100</v>
      </c>
      <c r="T14" s="229"/>
      <c r="U14" s="229" t="s">
        <v>46</v>
      </c>
      <c r="V14" s="223"/>
      <c r="W14" s="267"/>
      <c r="X14" s="267" t="s">
        <v>134</v>
      </c>
      <c r="Y14" s="268">
        <v>1.9646608179908563E-2</v>
      </c>
      <c r="Z14" s="268">
        <v>1</v>
      </c>
      <c r="AA14" s="268"/>
      <c r="AB14" s="269">
        <v>16186</v>
      </c>
      <c r="AC14" s="258"/>
    </row>
    <row r="15" spans="1:29" ht="15.75" customHeight="1" x14ac:dyDescent="0.3">
      <c r="B15" s="137"/>
      <c r="C15" s="137"/>
      <c r="D15" s="137"/>
      <c r="E15" s="137"/>
      <c r="F15" s="137"/>
      <c r="G15" s="137"/>
      <c r="T15" s="234"/>
      <c r="U15" s="234" t="s">
        <v>123</v>
      </c>
      <c r="V15" s="223"/>
      <c r="W15" s="267"/>
      <c r="X15" s="267" t="s">
        <v>135</v>
      </c>
      <c r="Y15" s="268">
        <v>0.29244434756546145</v>
      </c>
      <c r="Z15" s="268">
        <v>1</v>
      </c>
      <c r="AA15" s="268"/>
      <c r="AB15" s="269">
        <v>36701</v>
      </c>
      <c r="AC15" s="258"/>
    </row>
    <row r="16" spans="1:29" x14ac:dyDescent="0.3">
      <c r="W16" s="271"/>
      <c r="X16" s="271" t="s">
        <v>123</v>
      </c>
      <c r="Y16" s="272">
        <v>0.14239981922265743</v>
      </c>
      <c r="Z16" s="272">
        <v>1</v>
      </c>
      <c r="AA16" s="272"/>
      <c r="AB16" s="273">
        <v>132760</v>
      </c>
      <c r="AC16" s="258"/>
    </row>
    <row r="17" spans="1:1" ht="24.75" customHeight="1" x14ac:dyDescent="0.3">
      <c r="A17" s="1" t="s">
        <v>224</v>
      </c>
    </row>
    <row r="36" spans="1:22" ht="24" customHeight="1" x14ac:dyDescent="0.3">
      <c r="A36" s="13" t="s">
        <v>225</v>
      </c>
      <c r="B36" s="14"/>
      <c r="C36" s="14"/>
      <c r="D36" s="14"/>
      <c r="E36" s="14"/>
      <c r="F36" s="14"/>
      <c r="T36" s="239" t="s">
        <v>121</v>
      </c>
      <c r="U36" s="239"/>
      <c r="V36" s="239"/>
    </row>
    <row r="37" spans="1:22" ht="36.75" customHeight="1" x14ac:dyDescent="0.3">
      <c r="A37" s="32" t="s">
        <v>33</v>
      </c>
      <c r="B37" s="30" t="s">
        <v>34</v>
      </c>
      <c r="C37" s="30">
        <v>2024</v>
      </c>
      <c r="D37" s="30">
        <v>2025</v>
      </c>
      <c r="E37" s="30" t="s">
        <v>47</v>
      </c>
      <c r="F37" s="32" t="s">
        <v>48</v>
      </c>
      <c r="T37" s="239"/>
      <c r="U37" s="239"/>
      <c r="V37" s="239"/>
    </row>
    <row r="38" spans="1:22" ht="18" customHeight="1" x14ac:dyDescent="0.3">
      <c r="A38" s="27">
        <v>1</v>
      </c>
      <c r="B38" s="29" t="s">
        <v>135</v>
      </c>
      <c r="C38" s="150">
        <v>33307</v>
      </c>
      <c r="D38" s="196">
        <v>36701</v>
      </c>
      <c r="E38" s="151">
        <v>2.6734092663484411E-2</v>
      </c>
      <c r="F38" s="31"/>
      <c r="G38" s="18"/>
      <c r="H38" s="24">
        <f>(D38-C38)/$C$48</f>
        <v>2.6734092663484411E-2</v>
      </c>
      <c r="J38" s="111" t="s">
        <v>39</v>
      </c>
      <c r="K38">
        <v>33307</v>
      </c>
      <c r="T38" s="240"/>
      <c r="U38" s="240"/>
      <c r="V38" s="240" t="s">
        <v>122</v>
      </c>
    </row>
    <row r="39" spans="1:22" ht="18" customHeight="1" x14ac:dyDescent="0.3">
      <c r="A39" s="27">
        <v>2</v>
      </c>
      <c r="B39" s="29" t="s">
        <v>131</v>
      </c>
      <c r="C39" s="150">
        <v>31479</v>
      </c>
      <c r="D39" s="197">
        <v>31782</v>
      </c>
      <c r="E39" s="151">
        <v>2.3866912424972825E-3</v>
      </c>
      <c r="F39" s="31"/>
      <c r="G39" s="18"/>
      <c r="H39" s="24">
        <f t="shared" ref="H39:H48" si="1">(D39-C39)/$C$48</f>
        <v>2.3866912424972825E-3</v>
      </c>
      <c r="J39" s="112" t="s">
        <v>37</v>
      </c>
      <c r="K39">
        <v>31479</v>
      </c>
      <c r="T39" s="224" t="s">
        <v>188</v>
      </c>
      <c r="U39" s="224" t="s">
        <v>135</v>
      </c>
      <c r="V39" s="228">
        <v>18312</v>
      </c>
    </row>
    <row r="40" spans="1:22" ht="18" customHeight="1" x14ac:dyDescent="0.3">
      <c r="A40" s="27">
        <v>3</v>
      </c>
      <c r="B40" s="29" t="s">
        <v>133</v>
      </c>
      <c r="C40" s="150">
        <v>25668</v>
      </c>
      <c r="D40" s="196">
        <v>28443</v>
      </c>
      <c r="E40" s="151">
        <v>2.1858310884257291E-2</v>
      </c>
      <c r="F40" s="31"/>
      <c r="G40" s="18"/>
      <c r="H40" s="24">
        <f t="shared" si="1"/>
        <v>2.1858310884257291E-2</v>
      </c>
      <c r="J40" s="112" t="s">
        <v>38</v>
      </c>
      <c r="K40">
        <v>25668</v>
      </c>
      <c r="T40" s="229"/>
      <c r="U40" s="229" t="s">
        <v>131</v>
      </c>
      <c r="V40" s="233">
        <v>15722</v>
      </c>
    </row>
    <row r="41" spans="1:22" ht="18" customHeight="1" x14ac:dyDescent="0.3">
      <c r="A41" s="27">
        <v>4</v>
      </c>
      <c r="B41" s="29" t="s">
        <v>134</v>
      </c>
      <c r="C41" s="150">
        <v>13669</v>
      </c>
      <c r="D41" s="196">
        <v>16186</v>
      </c>
      <c r="E41" s="151">
        <v>1.9826078737180397E-2</v>
      </c>
      <c r="F41" s="31"/>
      <c r="G41" s="18"/>
      <c r="H41" s="24">
        <f t="shared" si="1"/>
        <v>1.9826078737180397E-2</v>
      </c>
      <c r="J41" s="112" t="s">
        <v>40</v>
      </c>
      <c r="K41">
        <v>13669</v>
      </c>
      <c r="T41" s="229"/>
      <c r="U41" s="229" t="s">
        <v>133</v>
      </c>
      <c r="V41" s="233">
        <v>14212</v>
      </c>
    </row>
    <row r="42" spans="1:22" ht="18" customHeight="1" x14ac:dyDescent="0.3">
      <c r="A42" s="27">
        <v>5</v>
      </c>
      <c r="B42" s="29" t="s">
        <v>129</v>
      </c>
      <c r="C42" s="150">
        <v>10273</v>
      </c>
      <c r="D42" s="196">
        <v>8487</v>
      </c>
      <c r="E42" s="151">
        <v>-1.4068087653795863E-2</v>
      </c>
      <c r="F42" s="31"/>
      <c r="G42" s="18"/>
      <c r="H42" s="24">
        <f t="shared" si="1"/>
        <v>-1.4068087653795863E-2</v>
      </c>
      <c r="J42" s="112" t="s">
        <v>41</v>
      </c>
      <c r="K42">
        <v>10273</v>
      </c>
      <c r="T42" s="229"/>
      <c r="U42" s="229" t="s">
        <v>134</v>
      </c>
      <c r="V42" s="233">
        <v>7621</v>
      </c>
    </row>
    <row r="43" spans="1:22" ht="18" customHeight="1" x14ac:dyDescent="0.3">
      <c r="A43" s="27">
        <v>6</v>
      </c>
      <c r="B43" s="29" t="s">
        <v>130</v>
      </c>
      <c r="C43" s="150">
        <v>7057</v>
      </c>
      <c r="D43" s="196">
        <v>5769</v>
      </c>
      <c r="E43" s="151">
        <v>-1.0145406997810231E-2</v>
      </c>
      <c r="F43" s="31"/>
      <c r="G43" s="18"/>
      <c r="H43" s="24">
        <f t="shared" si="1"/>
        <v>-1.0145406997810231E-2</v>
      </c>
      <c r="J43" s="112" t="s">
        <v>42</v>
      </c>
      <c r="K43">
        <v>7057</v>
      </c>
      <c r="T43" s="229"/>
      <c r="U43" s="229" t="s">
        <v>129</v>
      </c>
      <c r="V43" s="233">
        <v>4318</v>
      </c>
    </row>
    <row r="44" spans="1:22" ht="18" customHeight="1" x14ac:dyDescent="0.3">
      <c r="A44" s="27">
        <v>7</v>
      </c>
      <c r="B44" s="29" t="s">
        <v>128</v>
      </c>
      <c r="C44" s="278">
        <v>2440</v>
      </c>
      <c r="D44" s="196">
        <v>2169</v>
      </c>
      <c r="E44" s="151">
        <v>-2.1346314413094505E-3</v>
      </c>
      <c r="F44" s="31"/>
      <c r="G44" s="18"/>
      <c r="H44" s="24">
        <f t="shared" si="1"/>
        <v>-2.1346314413094505E-3</v>
      </c>
      <c r="J44" s="112" t="s">
        <v>43</v>
      </c>
      <c r="K44">
        <v>2615</v>
      </c>
      <c r="T44" s="229"/>
      <c r="U44" s="229" t="s">
        <v>130</v>
      </c>
      <c r="V44" s="233">
        <v>2857</v>
      </c>
    </row>
    <row r="45" spans="1:22" ht="18" customHeight="1" x14ac:dyDescent="0.3">
      <c r="A45" s="27">
        <v>8</v>
      </c>
      <c r="B45" s="29" t="s">
        <v>66</v>
      </c>
      <c r="C45" s="150">
        <v>2615</v>
      </c>
      <c r="D45" s="196">
        <v>2161</v>
      </c>
      <c r="E45" s="151">
        <v>-3.5760984293523638E-3</v>
      </c>
      <c r="F45" s="31"/>
      <c r="G45" s="18"/>
      <c r="H45" s="24">
        <f>(D45-C45)/$C$48</f>
        <v>-3.5760984293523638E-3</v>
      </c>
      <c r="J45" s="112" t="s">
        <v>44</v>
      </c>
      <c r="K45">
        <v>2440</v>
      </c>
      <c r="T45" s="229"/>
      <c r="U45" s="229" t="s">
        <v>128</v>
      </c>
      <c r="V45" s="233">
        <v>1068</v>
      </c>
    </row>
    <row r="46" spans="1:22" ht="18" customHeight="1" x14ac:dyDescent="0.3">
      <c r="A46" s="27">
        <v>9</v>
      </c>
      <c r="B46" s="29" t="s">
        <v>132</v>
      </c>
      <c r="C46" s="150">
        <v>446</v>
      </c>
      <c r="D46" s="196">
        <v>1062</v>
      </c>
      <c r="E46" s="151">
        <v>4.8521511728657624E-3</v>
      </c>
      <c r="F46" s="31"/>
      <c r="G46" s="18"/>
      <c r="H46" s="24">
        <f t="shared" si="1"/>
        <v>4.8521511728657624E-3</v>
      </c>
      <c r="J46" s="112" t="s">
        <v>45</v>
      </c>
      <c r="K46">
        <v>446</v>
      </c>
      <c r="T46" s="229"/>
      <c r="U46" s="229" t="s">
        <v>66</v>
      </c>
      <c r="V46" s="233">
        <v>980</v>
      </c>
    </row>
    <row r="47" spans="1:22" ht="18" customHeight="1" x14ac:dyDescent="0.3">
      <c r="A47" s="124">
        <v>10</v>
      </c>
      <c r="B47" s="29" t="s">
        <v>46</v>
      </c>
      <c r="C47" s="150"/>
      <c r="D47" s="150"/>
      <c r="E47" s="151"/>
      <c r="F47" s="31"/>
      <c r="G47" s="18"/>
      <c r="H47" s="24">
        <f t="shared" si="1"/>
        <v>0</v>
      </c>
      <c r="J47" s="133" t="s">
        <v>46</v>
      </c>
      <c r="K47" s="134"/>
      <c r="T47" s="229"/>
      <c r="U47" s="229" t="s">
        <v>132</v>
      </c>
      <c r="V47" s="233">
        <v>405</v>
      </c>
    </row>
    <row r="48" spans="1:22" ht="18" customHeight="1" x14ac:dyDescent="0.3">
      <c r="A48" s="31"/>
      <c r="B48" s="110" t="s">
        <v>18</v>
      </c>
      <c r="C48" s="150">
        <v>126954</v>
      </c>
      <c r="D48" s="150">
        <v>132760</v>
      </c>
      <c r="E48" s="151">
        <v>4.5733100178017232E-2</v>
      </c>
      <c r="F48" s="31"/>
      <c r="G48" s="18"/>
      <c r="H48" s="24">
        <f t="shared" si="1"/>
        <v>4.5733100178017232E-2</v>
      </c>
      <c r="J48" s="93" t="s">
        <v>46</v>
      </c>
      <c r="K48" s="135">
        <v>126954</v>
      </c>
      <c r="T48" s="229"/>
      <c r="U48" s="229" t="s">
        <v>46</v>
      </c>
      <c r="V48" s="233">
        <v>0</v>
      </c>
    </row>
    <row r="49" spans="1:36" ht="16.8" customHeight="1" x14ac:dyDescent="0.3">
      <c r="A49" s="14"/>
      <c r="B49" s="14"/>
      <c r="C49" s="14"/>
      <c r="D49" s="14"/>
      <c r="E49" s="14"/>
      <c r="F49" s="14"/>
      <c r="J49" s="94" t="s">
        <v>18</v>
      </c>
      <c r="K49" s="109"/>
      <c r="T49" s="234"/>
      <c r="U49" s="234" t="s">
        <v>123</v>
      </c>
      <c r="V49" s="238">
        <v>65495</v>
      </c>
    </row>
    <row r="50" spans="1:36" x14ac:dyDescent="0.3">
      <c r="U50" s="94" t="s">
        <v>18</v>
      </c>
    </row>
    <row r="51" spans="1:36" ht="28.5" customHeight="1" x14ac:dyDescent="0.3">
      <c r="A51" s="1" t="s">
        <v>226</v>
      </c>
      <c r="T51" s="114" t="s">
        <v>121</v>
      </c>
      <c r="U51" s="114"/>
    </row>
    <row r="52" spans="1:36" ht="23.25" customHeight="1" x14ac:dyDescent="0.3">
      <c r="A52" s="364" t="s">
        <v>33</v>
      </c>
      <c r="B52" s="365" t="s">
        <v>34</v>
      </c>
      <c r="C52" s="364" t="s">
        <v>49</v>
      </c>
      <c r="D52" s="364"/>
      <c r="E52" s="364" t="s">
        <v>18</v>
      </c>
      <c r="F52" s="364"/>
      <c r="T52" s="114"/>
      <c r="U52" s="114"/>
    </row>
    <row r="53" spans="1:36" ht="21" customHeight="1" x14ac:dyDescent="0.3">
      <c r="A53" s="364"/>
      <c r="B53" s="366"/>
      <c r="C53" s="33" t="s">
        <v>20</v>
      </c>
      <c r="D53" s="33" t="s">
        <v>21</v>
      </c>
      <c r="E53" s="33" t="s">
        <v>36</v>
      </c>
      <c r="F53" s="33" t="s">
        <v>33</v>
      </c>
      <c r="T53" s="114" t="s">
        <v>121</v>
      </c>
      <c r="U53" s="114"/>
    </row>
    <row r="54" spans="1:36" ht="18" customHeight="1" x14ac:dyDescent="0.3">
      <c r="A54" s="138">
        <v>1</v>
      </c>
      <c r="B54" s="146" t="s">
        <v>135</v>
      </c>
      <c r="C54" s="140">
        <v>4.7328410670008994E-2</v>
      </c>
      <c r="D54" s="140">
        <v>0.95267158932999096</v>
      </c>
      <c r="E54" s="140">
        <v>1</v>
      </c>
      <c r="F54" s="198">
        <v>36701</v>
      </c>
      <c r="T54" s="114"/>
      <c r="U54" s="114"/>
    </row>
    <row r="55" spans="1:36" ht="18" customHeight="1" x14ac:dyDescent="0.3">
      <c r="A55" s="138">
        <v>2</v>
      </c>
      <c r="B55" s="146" t="s">
        <v>131</v>
      </c>
      <c r="C55" s="140">
        <v>8.4167138631930025E-2</v>
      </c>
      <c r="D55" s="140">
        <v>0.91583286136806985</v>
      </c>
      <c r="E55" s="140">
        <v>1</v>
      </c>
      <c r="F55" s="198">
        <v>31782</v>
      </c>
      <c r="T55" s="115"/>
      <c r="U55" s="115"/>
    </row>
    <row r="56" spans="1:36" ht="18" customHeight="1" x14ac:dyDescent="0.3">
      <c r="A56" s="138">
        <v>3</v>
      </c>
      <c r="B56" s="146" t="s">
        <v>133</v>
      </c>
      <c r="C56" s="140">
        <v>7.1792708223464466E-2</v>
      </c>
      <c r="D56" s="140">
        <v>0.92820729177653549</v>
      </c>
      <c r="E56" s="140">
        <v>1</v>
      </c>
      <c r="F56" s="198">
        <v>28443</v>
      </c>
      <c r="H56" s="58">
        <f>F54+F55+F56+F57+F58</f>
        <v>121599</v>
      </c>
      <c r="T56" s="111" t="s">
        <v>161</v>
      </c>
      <c r="U56" s="111" t="s">
        <v>135</v>
      </c>
      <c r="W56" s="342" t="s">
        <v>121</v>
      </c>
      <c r="X56" s="342"/>
      <c r="Y56" s="343"/>
      <c r="Z56" s="343"/>
      <c r="AA56" s="343"/>
      <c r="AB56" s="343"/>
      <c r="AC56" s="346"/>
      <c r="AD56" s="258"/>
    </row>
    <row r="57" spans="1:36" ht="18" customHeight="1" x14ac:dyDescent="0.3">
      <c r="A57" s="138">
        <v>4</v>
      </c>
      <c r="B57" s="146" t="s">
        <v>134</v>
      </c>
      <c r="C57" s="140">
        <v>0.11096008896577288</v>
      </c>
      <c r="D57" s="140">
        <v>0.88903991103422708</v>
      </c>
      <c r="E57" s="140">
        <v>1</v>
      </c>
      <c r="F57" s="198">
        <v>16186</v>
      </c>
      <c r="H57">
        <f>H56/F64</f>
        <v>0.91593100331425126</v>
      </c>
      <c r="T57" s="112"/>
      <c r="U57" s="112" t="s">
        <v>131</v>
      </c>
      <c r="W57" s="342"/>
      <c r="X57" s="342"/>
      <c r="Y57" s="343"/>
      <c r="Z57" s="343"/>
      <c r="AA57" s="343"/>
      <c r="AB57" s="343" t="s">
        <v>123</v>
      </c>
      <c r="AC57" s="346"/>
      <c r="AD57" s="258"/>
    </row>
    <row r="58" spans="1:36" ht="18" customHeight="1" x14ac:dyDescent="0.3">
      <c r="A58" s="138">
        <v>5</v>
      </c>
      <c r="B58" s="146" t="s">
        <v>129</v>
      </c>
      <c r="C58" s="140">
        <v>0.26028042889124542</v>
      </c>
      <c r="D58" s="140">
        <v>0.73971957110875453</v>
      </c>
      <c r="E58" s="140">
        <v>1</v>
      </c>
      <c r="F58" s="198">
        <v>8487</v>
      </c>
      <c r="T58" s="112"/>
      <c r="U58" s="112" t="s">
        <v>133</v>
      </c>
      <c r="W58" s="344"/>
      <c r="X58" s="344"/>
      <c r="Y58" s="345" t="s">
        <v>124</v>
      </c>
      <c r="Z58" s="345" t="s">
        <v>124</v>
      </c>
      <c r="AA58" s="345"/>
      <c r="AB58" s="345" t="s">
        <v>122</v>
      </c>
      <c r="AC58" s="347" t="s">
        <v>124</v>
      </c>
      <c r="AD58" s="258"/>
    </row>
    <row r="59" spans="1:36" ht="18" customHeight="1" x14ac:dyDescent="0.3">
      <c r="A59" s="138">
        <v>6</v>
      </c>
      <c r="B59" s="146" t="s">
        <v>130</v>
      </c>
      <c r="C59" s="140">
        <v>0.15115271277517767</v>
      </c>
      <c r="D59" s="140">
        <v>0.84884728722482228</v>
      </c>
      <c r="E59" s="140">
        <v>1</v>
      </c>
      <c r="F59" s="198">
        <v>5769</v>
      </c>
      <c r="T59" s="112"/>
      <c r="U59" s="112" t="s">
        <v>134</v>
      </c>
      <c r="W59" s="263" t="s">
        <v>222</v>
      </c>
      <c r="X59" s="263" t="s">
        <v>46</v>
      </c>
      <c r="Y59" s="264">
        <v>0</v>
      </c>
      <c r="Z59" s="264">
        <v>0</v>
      </c>
      <c r="AA59" s="266">
        <v>0</v>
      </c>
      <c r="AB59" s="265">
        <v>0</v>
      </c>
      <c r="AD59" s="258"/>
    </row>
    <row r="60" spans="1:36" ht="18" customHeight="1" x14ac:dyDescent="0.3">
      <c r="A60" s="138">
        <v>7</v>
      </c>
      <c r="B60" s="146" t="s">
        <v>128</v>
      </c>
      <c r="C60" s="140">
        <v>0.33563854310742269</v>
      </c>
      <c r="D60" s="140">
        <v>0.66436145689257708</v>
      </c>
      <c r="E60" s="140">
        <v>1</v>
      </c>
      <c r="F60" s="198">
        <v>2169</v>
      </c>
      <c r="T60" s="112"/>
      <c r="U60" s="112" t="s">
        <v>129</v>
      </c>
      <c r="W60" s="267"/>
      <c r="X60" s="267" t="s">
        <v>128</v>
      </c>
      <c r="Y60" s="268">
        <v>0.33563854310742269</v>
      </c>
      <c r="Z60" s="268">
        <v>0.66436145689257708</v>
      </c>
      <c r="AA60" s="270">
        <v>1</v>
      </c>
      <c r="AB60" s="269">
        <v>2169</v>
      </c>
      <c r="AD60" s="258"/>
    </row>
    <row r="61" spans="1:36" ht="18" customHeight="1" x14ac:dyDescent="0.3">
      <c r="A61" s="138">
        <v>8</v>
      </c>
      <c r="B61" s="146" t="s">
        <v>66</v>
      </c>
      <c r="C61" s="140">
        <v>0.3873206848681166</v>
      </c>
      <c r="D61" s="140">
        <v>0.61267931513188334</v>
      </c>
      <c r="E61" s="140">
        <v>1</v>
      </c>
      <c r="F61" s="198">
        <v>2161</v>
      </c>
      <c r="T61" s="112"/>
      <c r="U61" s="112" t="s">
        <v>130</v>
      </c>
      <c r="W61" s="267"/>
      <c r="X61" s="267" t="s">
        <v>66</v>
      </c>
      <c r="Y61" s="268">
        <v>0.3873206848681166</v>
      </c>
      <c r="Z61" s="268">
        <v>0.61267931513188334</v>
      </c>
      <c r="AA61" s="270">
        <v>1</v>
      </c>
      <c r="AB61" s="269">
        <v>2161</v>
      </c>
      <c r="AD61" s="258"/>
      <c r="AE61" s="342" t="s">
        <v>121</v>
      </c>
      <c r="AF61" s="342"/>
      <c r="AG61" s="343"/>
      <c r="AH61" s="343"/>
      <c r="AI61" s="346"/>
      <c r="AJ61" s="258"/>
    </row>
    <row r="62" spans="1:36" ht="18" customHeight="1" x14ac:dyDescent="0.3">
      <c r="A62" s="138">
        <v>9</v>
      </c>
      <c r="B62" s="146" t="s">
        <v>132</v>
      </c>
      <c r="C62" s="140">
        <v>4.708097928436912E-2</v>
      </c>
      <c r="D62" s="140">
        <v>0.95291902071563084</v>
      </c>
      <c r="E62" s="140">
        <v>1</v>
      </c>
      <c r="F62" s="198">
        <v>1062</v>
      </c>
      <c r="T62" s="112"/>
      <c r="U62" s="112" t="s">
        <v>66</v>
      </c>
      <c r="W62" s="267"/>
      <c r="X62" s="267" t="s">
        <v>129</v>
      </c>
      <c r="Y62" s="268">
        <v>0.26028042889124542</v>
      </c>
      <c r="Z62" s="268">
        <v>0.73971957110875453</v>
      </c>
      <c r="AA62" s="270">
        <v>1</v>
      </c>
      <c r="AB62" s="269">
        <v>8487</v>
      </c>
      <c r="AD62" s="258"/>
      <c r="AE62" s="342"/>
      <c r="AF62" s="342"/>
      <c r="AG62" s="343" t="s">
        <v>24</v>
      </c>
      <c r="AH62" s="343" t="s">
        <v>123</v>
      </c>
      <c r="AI62" s="346"/>
      <c r="AJ62" s="258"/>
    </row>
    <row r="63" spans="1:36" ht="18" customHeight="1" x14ac:dyDescent="0.3">
      <c r="A63" s="138">
        <v>10</v>
      </c>
      <c r="B63" s="146" t="s">
        <v>46</v>
      </c>
      <c r="C63" s="140"/>
      <c r="D63" s="140"/>
      <c r="E63" s="140"/>
      <c r="F63" s="198"/>
      <c r="T63" s="112"/>
      <c r="U63" s="112" t="s">
        <v>128</v>
      </c>
      <c r="W63" s="267"/>
      <c r="X63" s="267" t="s">
        <v>130</v>
      </c>
      <c r="Y63" s="268">
        <v>0.15115271277517767</v>
      </c>
      <c r="Z63" s="268">
        <v>0.84884728722482228</v>
      </c>
      <c r="AA63" s="270">
        <v>1</v>
      </c>
      <c r="AB63" s="269">
        <v>5769</v>
      </c>
      <c r="AD63" s="258"/>
      <c r="AE63" s="344"/>
      <c r="AF63" s="344"/>
      <c r="AG63" s="345" t="s">
        <v>124</v>
      </c>
      <c r="AH63" s="345" t="s">
        <v>124</v>
      </c>
      <c r="AI63" s="347" t="s">
        <v>122</v>
      </c>
      <c r="AJ63" s="258"/>
    </row>
    <row r="64" spans="1:36" ht="22.5" customHeight="1" x14ac:dyDescent="0.3">
      <c r="A64" s="139"/>
      <c r="B64" s="110" t="s">
        <v>18</v>
      </c>
      <c r="C64" s="141">
        <v>9.7514311539620369E-2</v>
      </c>
      <c r="D64" s="141">
        <v>0.90248568846037969</v>
      </c>
      <c r="E64" s="140">
        <v>1</v>
      </c>
      <c r="F64" s="199">
        <v>132760</v>
      </c>
      <c r="T64" s="112"/>
      <c r="U64" s="112" t="s">
        <v>132</v>
      </c>
      <c r="W64" s="267"/>
      <c r="X64" s="267" t="s">
        <v>131</v>
      </c>
      <c r="Y64" s="268">
        <v>8.4167138631930025E-2</v>
      </c>
      <c r="Z64" s="268">
        <v>0.91583286136806985</v>
      </c>
      <c r="AA64" s="270">
        <v>1</v>
      </c>
      <c r="AB64" s="269">
        <v>31782</v>
      </c>
      <c r="AD64" s="258"/>
      <c r="AE64" s="263" t="s">
        <v>116</v>
      </c>
      <c r="AF64" s="263" t="s">
        <v>209</v>
      </c>
      <c r="AG64" s="264">
        <v>4.549667851073691E-2</v>
      </c>
      <c r="AH64" s="264">
        <v>1</v>
      </c>
      <c r="AI64" s="280">
        <v>12946</v>
      </c>
      <c r="AJ64" s="258"/>
    </row>
    <row r="65" spans="2:36" ht="45.6" x14ac:dyDescent="0.3">
      <c r="T65" s="112"/>
      <c r="U65" s="112" t="s">
        <v>46</v>
      </c>
      <c r="W65" s="267"/>
      <c r="X65" s="267" t="s">
        <v>132</v>
      </c>
      <c r="Y65" s="268">
        <v>4.708097928436912E-2</v>
      </c>
      <c r="Z65" s="268">
        <v>0.95291902071563084</v>
      </c>
      <c r="AA65" s="270">
        <v>1</v>
      </c>
      <c r="AB65" s="269">
        <v>1062</v>
      </c>
      <c r="AD65" s="258"/>
      <c r="AE65" s="267"/>
      <c r="AF65" s="267" t="s">
        <v>210</v>
      </c>
      <c r="AG65" s="268">
        <v>0.15287028227085317</v>
      </c>
      <c r="AH65" s="268">
        <v>1</v>
      </c>
      <c r="AI65" s="282">
        <v>119814</v>
      </c>
      <c r="AJ65" s="258"/>
    </row>
    <row r="66" spans="2:36" ht="30" customHeight="1" x14ac:dyDescent="0.3">
      <c r="B66" s="1" t="s">
        <v>227</v>
      </c>
      <c r="S66" s="352" t="s">
        <v>121</v>
      </c>
      <c r="T66" s="352"/>
      <c r="U66" s="353" t="s">
        <v>117</v>
      </c>
      <c r="W66" s="267"/>
      <c r="X66" s="267" t="s">
        <v>133</v>
      </c>
      <c r="Y66" s="268">
        <v>7.1792708223464466E-2</v>
      </c>
      <c r="Z66" s="268">
        <v>0.92820729177653549</v>
      </c>
      <c r="AA66" s="270">
        <v>1</v>
      </c>
      <c r="AB66" s="269">
        <v>28443</v>
      </c>
      <c r="AD66" s="258"/>
      <c r="AE66" s="271"/>
      <c r="AF66" s="271" t="s">
        <v>123</v>
      </c>
      <c r="AG66" s="272">
        <v>0.14239981922265743</v>
      </c>
      <c r="AH66" s="272">
        <v>1</v>
      </c>
      <c r="AI66" s="284">
        <v>132760</v>
      </c>
      <c r="AJ66" s="258"/>
    </row>
    <row r="67" spans="2:36" ht="19.5" customHeight="1" x14ac:dyDescent="0.3">
      <c r="B67" s="356" t="s">
        <v>50</v>
      </c>
      <c r="C67" s="356" t="s">
        <v>51</v>
      </c>
      <c r="D67" s="356"/>
      <c r="E67" s="356"/>
      <c r="F67" s="356" t="s">
        <v>18</v>
      </c>
      <c r="G67" s="356"/>
      <c r="S67" s="352"/>
      <c r="T67" s="352"/>
      <c r="U67" s="353" t="s">
        <v>23</v>
      </c>
      <c r="W67" s="267"/>
      <c r="X67" s="267" t="s">
        <v>134</v>
      </c>
      <c r="Y67" s="268">
        <v>0.11096008896577288</v>
      </c>
      <c r="Z67" s="268">
        <v>0.88903991103422708</v>
      </c>
      <c r="AA67" s="270">
        <v>1</v>
      </c>
      <c r="AB67" s="269">
        <v>16186</v>
      </c>
      <c r="AD67" s="258"/>
    </row>
    <row r="68" spans="2:36" ht="26.4" customHeight="1" x14ac:dyDescent="0.3">
      <c r="B68" s="357"/>
      <c r="C68" s="33" t="s">
        <v>23</v>
      </c>
      <c r="D68" s="33" t="s">
        <v>24</v>
      </c>
      <c r="E68" s="33" t="s">
        <v>25</v>
      </c>
      <c r="F68" s="33" t="s">
        <v>36</v>
      </c>
      <c r="G68" s="33" t="s">
        <v>33</v>
      </c>
      <c r="S68" s="354"/>
      <c r="T68" s="354"/>
      <c r="U68" s="355" t="s">
        <v>122</v>
      </c>
      <c r="W68" s="267"/>
      <c r="X68" s="267" t="s">
        <v>135</v>
      </c>
      <c r="Y68" s="268">
        <v>4.7328410670008994E-2</v>
      </c>
      <c r="Z68" s="268">
        <v>0.95267158932999096</v>
      </c>
      <c r="AA68" s="270">
        <v>1</v>
      </c>
      <c r="AB68" s="269">
        <v>36701</v>
      </c>
      <c r="AD68" s="258"/>
    </row>
    <row r="69" spans="2:36" ht="18" customHeight="1" x14ac:dyDescent="0.3">
      <c r="B69" s="62" t="s">
        <v>20</v>
      </c>
      <c r="C69" s="285">
        <v>0.56805190792522786</v>
      </c>
      <c r="D69" s="285">
        <v>4.549667851073691E-2</v>
      </c>
      <c r="E69" s="285">
        <v>0.38645141356403523</v>
      </c>
      <c r="F69" s="286">
        <v>1</v>
      </c>
      <c r="G69" s="287">
        <v>12946</v>
      </c>
      <c r="S69" s="239" t="s">
        <v>121</v>
      </c>
      <c r="T69" s="239"/>
      <c r="U69" s="239" t="s">
        <v>117</v>
      </c>
      <c r="V69" s="239"/>
      <c r="W69" s="271"/>
      <c r="X69" s="271" t="s">
        <v>123</v>
      </c>
      <c r="Y69" s="272">
        <v>9.7514311539620369E-2</v>
      </c>
      <c r="Z69" s="272">
        <v>0.90248568846037969</v>
      </c>
      <c r="AA69" s="274">
        <v>1</v>
      </c>
      <c r="AB69" s="273">
        <v>132760</v>
      </c>
      <c r="AD69" s="258"/>
    </row>
    <row r="70" spans="2:36" ht="18" customHeight="1" x14ac:dyDescent="0.3">
      <c r="B70" s="62" t="s">
        <v>21</v>
      </c>
      <c r="C70" s="285">
        <v>0.59927053599746272</v>
      </c>
      <c r="D70" s="285">
        <v>0.15287028227085317</v>
      </c>
      <c r="E70" s="285">
        <v>0.24785918173168411</v>
      </c>
      <c r="F70" s="286">
        <v>1</v>
      </c>
      <c r="G70" s="287">
        <v>119814</v>
      </c>
      <c r="S70" s="239"/>
      <c r="T70" s="239"/>
      <c r="U70" s="239" t="s">
        <v>23</v>
      </c>
      <c r="V70" s="239" t="s">
        <v>25</v>
      </c>
      <c r="W70" s="239"/>
      <c r="X70" s="223"/>
    </row>
    <row r="71" spans="2:36" ht="18" customHeight="1" x14ac:dyDescent="0.3">
      <c r="B71" s="110" t="s">
        <v>18</v>
      </c>
      <c r="C71" s="152">
        <v>0.59622627297378727</v>
      </c>
      <c r="D71" s="152">
        <v>0.14239981922265743</v>
      </c>
      <c r="E71" s="152">
        <v>0.26137390780355529</v>
      </c>
      <c r="F71" s="286">
        <v>1</v>
      </c>
      <c r="G71" s="287">
        <v>132760</v>
      </c>
      <c r="S71" s="240"/>
      <c r="T71" s="240"/>
      <c r="U71" s="240" t="s">
        <v>124</v>
      </c>
      <c r="V71" s="240" t="s">
        <v>124</v>
      </c>
      <c r="W71" s="240" t="s">
        <v>122</v>
      </c>
      <c r="X71" s="223"/>
    </row>
    <row r="72" spans="2:36" x14ac:dyDescent="0.3">
      <c r="S72" s="224" t="s">
        <v>116</v>
      </c>
      <c r="T72" s="224" t="s">
        <v>20</v>
      </c>
      <c r="U72" s="225">
        <v>0.55344655344655347</v>
      </c>
      <c r="V72" s="227">
        <v>0.40459540459540461</v>
      </c>
      <c r="W72" s="228">
        <v>6006</v>
      </c>
      <c r="X72" s="223"/>
    </row>
    <row r="73" spans="2:36" x14ac:dyDescent="0.3">
      <c r="S73" s="229"/>
      <c r="T73" s="229" t="s">
        <v>21</v>
      </c>
      <c r="U73" s="230">
        <v>0.58662946090873946</v>
      </c>
      <c r="V73" s="232">
        <v>0.25482021886399164</v>
      </c>
      <c r="W73" s="233">
        <v>59489</v>
      </c>
      <c r="X73" s="223"/>
    </row>
    <row r="74" spans="2:36" x14ac:dyDescent="0.3">
      <c r="S74" s="234"/>
      <c r="T74" s="234" t="s">
        <v>123</v>
      </c>
      <c r="U74" s="235">
        <v>0.58358653332315447</v>
      </c>
      <c r="V74" s="237">
        <v>0.26855485151538283</v>
      </c>
      <c r="W74" s="238">
        <v>65495</v>
      </c>
      <c r="X74" s="223"/>
    </row>
    <row r="75" spans="2:36" ht="27.75" customHeight="1" x14ac:dyDescent="0.3">
      <c r="B75" s="1" t="s">
        <v>228</v>
      </c>
    </row>
    <row r="94" spans="2:36" ht="24.75" customHeight="1" x14ac:dyDescent="0.3">
      <c r="B94" s="1" t="s">
        <v>229</v>
      </c>
      <c r="S94" s="239" t="s">
        <v>121</v>
      </c>
      <c r="T94" s="239"/>
      <c r="U94" s="239" t="s">
        <v>116</v>
      </c>
      <c r="V94" s="239"/>
      <c r="W94" s="239"/>
      <c r="X94" s="239"/>
    </row>
    <row r="95" spans="2:36" ht="32.25" customHeight="1" x14ac:dyDescent="0.3">
      <c r="B95" s="348" t="s">
        <v>52</v>
      </c>
      <c r="C95" s="350" t="s">
        <v>53</v>
      </c>
      <c r="D95" s="350"/>
      <c r="E95" s="351" t="s">
        <v>18</v>
      </c>
      <c r="F95" s="351"/>
      <c r="S95" s="239"/>
      <c r="T95" s="239"/>
      <c r="U95" s="239" t="s">
        <v>20</v>
      </c>
      <c r="V95" s="239" t="s">
        <v>21</v>
      </c>
      <c r="W95" s="239" t="s">
        <v>123</v>
      </c>
      <c r="X95" s="239"/>
    </row>
    <row r="96" spans="2:36" ht="24" customHeight="1" x14ac:dyDescent="0.3">
      <c r="B96" s="349"/>
      <c r="C96" s="34" t="s">
        <v>20</v>
      </c>
      <c r="D96" s="34" t="s">
        <v>21</v>
      </c>
      <c r="E96" s="34" t="s">
        <v>36</v>
      </c>
      <c r="F96" s="34" t="s">
        <v>33</v>
      </c>
      <c r="S96" s="240"/>
      <c r="T96" s="240"/>
      <c r="U96" s="240" t="s">
        <v>124</v>
      </c>
      <c r="V96" s="240" t="s">
        <v>124</v>
      </c>
      <c r="W96" s="240" t="s">
        <v>124</v>
      </c>
      <c r="X96" s="240" t="s">
        <v>122</v>
      </c>
      <c r="AD96" s="342" t="s">
        <v>121</v>
      </c>
      <c r="AE96" s="342"/>
      <c r="AF96" s="358" t="s">
        <v>116</v>
      </c>
      <c r="AG96" s="343"/>
      <c r="AH96" s="343"/>
      <c r="AI96" s="346"/>
      <c r="AJ96" s="258"/>
    </row>
    <row r="97" spans="2:36" ht="18" customHeight="1" x14ac:dyDescent="0.3">
      <c r="B97" s="147" t="s">
        <v>143</v>
      </c>
      <c r="C97" s="200">
        <v>4.3737083988772706E-2</v>
      </c>
      <c r="D97" s="200">
        <v>0.95626291601122726</v>
      </c>
      <c r="E97" s="201">
        <v>1</v>
      </c>
      <c r="F97" s="203">
        <v>32421</v>
      </c>
      <c r="S97" s="224"/>
      <c r="T97" s="224" t="s">
        <v>143</v>
      </c>
      <c r="U97" s="225">
        <v>4.2206612571151748E-2</v>
      </c>
      <c r="V97" s="227">
        <v>0.95779338742884823</v>
      </c>
      <c r="W97" s="227">
        <v>1</v>
      </c>
      <c r="X97" s="228">
        <v>16514</v>
      </c>
      <c r="AD97" s="342"/>
      <c r="AE97" s="342"/>
      <c r="AF97" s="358" t="s">
        <v>209</v>
      </c>
      <c r="AG97" s="343" t="s">
        <v>210</v>
      </c>
      <c r="AH97" s="343" t="s">
        <v>123</v>
      </c>
      <c r="AI97" s="346"/>
      <c r="AJ97" s="258"/>
    </row>
    <row r="98" spans="2:36" ht="25.8" customHeight="1" x14ac:dyDescent="0.3">
      <c r="B98" s="147" t="s">
        <v>152</v>
      </c>
      <c r="C98" s="200">
        <v>8.9897352782279866E-2</v>
      </c>
      <c r="D98" s="200">
        <v>0.91010264721772016</v>
      </c>
      <c r="E98" s="201">
        <v>1</v>
      </c>
      <c r="F98" s="203">
        <v>18510</v>
      </c>
      <c r="S98" s="229"/>
      <c r="T98" s="229" t="s">
        <v>152</v>
      </c>
      <c r="U98" s="230">
        <v>8.7606112054329374E-2</v>
      </c>
      <c r="V98" s="232">
        <v>0.91239388794567067</v>
      </c>
      <c r="W98" s="232">
        <v>1</v>
      </c>
      <c r="X98" s="233">
        <v>8835</v>
      </c>
      <c r="AD98" s="344"/>
      <c r="AE98" s="344"/>
      <c r="AF98" s="359" t="s">
        <v>124</v>
      </c>
      <c r="AG98" s="345" t="s">
        <v>124</v>
      </c>
      <c r="AH98" s="345" t="s">
        <v>124</v>
      </c>
      <c r="AI98" s="347" t="s">
        <v>122</v>
      </c>
      <c r="AJ98" s="258"/>
    </row>
    <row r="99" spans="2:36" ht="24.6" customHeight="1" x14ac:dyDescent="0.3">
      <c r="B99" s="147" t="s">
        <v>54</v>
      </c>
      <c r="C99" s="200">
        <v>0.1663268977095575</v>
      </c>
      <c r="D99" s="200">
        <v>0.83367310229044245</v>
      </c>
      <c r="E99" s="201">
        <v>1</v>
      </c>
      <c r="F99" s="203">
        <v>16678</v>
      </c>
      <c r="S99" s="229"/>
      <c r="T99" s="229" t="s">
        <v>54</v>
      </c>
      <c r="U99" s="230">
        <v>0.16178521617852162</v>
      </c>
      <c r="V99" s="232">
        <v>0.8382147838214784</v>
      </c>
      <c r="W99" s="232">
        <v>1</v>
      </c>
      <c r="X99" s="233">
        <v>8604</v>
      </c>
      <c r="AD99" s="263" t="s">
        <v>230</v>
      </c>
      <c r="AE99" s="263" t="s">
        <v>137</v>
      </c>
      <c r="AF99" s="279">
        <v>3.6508524833209786E-2</v>
      </c>
      <c r="AG99" s="264">
        <v>0.96349147516679023</v>
      </c>
      <c r="AH99" s="264">
        <v>1</v>
      </c>
      <c r="AI99" s="280">
        <v>5396</v>
      </c>
      <c r="AJ99" s="258"/>
    </row>
    <row r="100" spans="2:36" ht="30.6" customHeight="1" x14ac:dyDescent="0.3">
      <c r="B100" s="147" t="s">
        <v>141</v>
      </c>
      <c r="C100" s="200">
        <v>0.11925779138893892</v>
      </c>
      <c r="D100" s="200">
        <v>0.88074220861106112</v>
      </c>
      <c r="E100" s="201">
        <v>1</v>
      </c>
      <c r="F100" s="203">
        <v>16653</v>
      </c>
      <c r="S100" s="229"/>
      <c r="T100" s="229" t="s">
        <v>141</v>
      </c>
      <c r="U100" s="230">
        <v>9.7242190563325059E-2</v>
      </c>
      <c r="V100" s="232">
        <v>0.90275780943667494</v>
      </c>
      <c r="W100" s="232">
        <v>1</v>
      </c>
      <c r="X100" s="233">
        <v>7651</v>
      </c>
      <c r="AD100" s="267"/>
      <c r="AE100" s="267" t="s">
        <v>138</v>
      </c>
      <c r="AF100" s="281">
        <v>0.45323741007194246</v>
      </c>
      <c r="AG100" s="268">
        <v>0.5467625899280576</v>
      </c>
      <c r="AH100" s="268">
        <v>1</v>
      </c>
      <c r="AI100" s="282">
        <v>139</v>
      </c>
      <c r="AJ100" s="258"/>
    </row>
    <row r="101" spans="2:36" ht="28.8" customHeight="1" x14ac:dyDescent="0.3">
      <c r="B101" s="147" t="s">
        <v>73</v>
      </c>
      <c r="C101" s="200">
        <v>8.1305841924398645E-2</v>
      </c>
      <c r="D101" s="200">
        <v>0.9186941580756014</v>
      </c>
      <c r="E101" s="201">
        <v>1</v>
      </c>
      <c r="F101" s="203">
        <v>14550</v>
      </c>
      <c r="S101" s="229"/>
      <c r="T101" s="229" t="s">
        <v>73</v>
      </c>
      <c r="U101" s="230">
        <v>7.3634899721856245E-2</v>
      </c>
      <c r="V101" s="232">
        <v>0.92636510027814378</v>
      </c>
      <c r="W101" s="232">
        <v>1</v>
      </c>
      <c r="X101" s="233">
        <v>6831</v>
      </c>
      <c r="AD101" s="267"/>
      <c r="AE101" s="267" t="s">
        <v>54</v>
      </c>
      <c r="AF101" s="281">
        <v>0.1663268977095575</v>
      </c>
      <c r="AG101" s="268">
        <v>0.83367310229044245</v>
      </c>
      <c r="AH101" s="268">
        <v>1</v>
      </c>
      <c r="AI101" s="282">
        <v>16678</v>
      </c>
      <c r="AJ101" s="258"/>
    </row>
    <row r="102" spans="2:36" ht="18" customHeight="1" x14ac:dyDescent="0.3">
      <c r="B102" s="147" t="s">
        <v>153</v>
      </c>
      <c r="C102" s="200">
        <v>5.7253760310528867E-3</v>
      </c>
      <c r="D102" s="200">
        <v>0.99427462396894706</v>
      </c>
      <c r="E102" s="201">
        <v>1</v>
      </c>
      <c r="F102" s="203">
        <v>10305</v>
      </c>
      <c r="S102" s="229"/>
      <c r="T102" s="229" t="s">
        <v>153</v>
      </c>
      <c r="U102" s="230">
        <v>4.6561604584527223E-3</v>
      </c>
      <c r="V102" s="232">
        <v>0.99534383954154715</v>
      </c>
      <c r="W102" s="232">
        <v>1</v>
      </c>
      <c r="X102" s="233">
        <v>5584</v>
      </c>
      <c r="AD102" s="267"/>
      <c r="AE102" s="267" t="s">
        <v>139</v>
      </c>
      <c r="AF102" s="281">
        <v>0.37062937062937062</v>
      </c>
      <c r="AG102" s="268">
        <v>0.62937062937062938</v>
      </c>
      <c r="AH102" s="268">
        <v>1</v>
      </c>
      <c r="AI102" s="282">
        <v>143</v>
      </c>
      <c r="AJ102" s="258"/>
    </row>
    <row r="103" spans="2:36" ht="18" customHeight="1" x14ac:dyDescent="0.3">
      <c r="B103" s="147" t="s">
        <v>148</v>
      </c>
      <c r="C103" s="200">
        <v>0.1356162830252863</v>
      </c>
      <c r="D103" s="200">
        <v>0.86438371697471372</v>
      </c>
      <c r="E103" s="201">
        <v>1</v>
      </c>
      <c r="F103" s="203">
        <v>8819</v>
      </c>
      <c r="S103" s="229"/>
      <c r="T103" s="229" t="s">
        <v>148</v>
      </c>
      <c r="U103" s="230">
        <v>0.14728682170542637</v>
      </c>
      <c r="V103" s="232">
        <v>0.8527131782945736</v>
      </c>
      <c r="W103" s="232">
        <v>1</v>
      </c>
      <c r="X103" s="233">
        <v>4902</v>
      </c>
      <c r="AD103" s="267"/>
      <c r="AE103" s="267" t="s">
        <v>140</v>
      </c>
      <c r="AF103" s="281">
        <v>0.29078014184397161</v>
      </c>
      <c r="AG103" s="268">
        <v>0.70921985815602839</v>
      </c>
      <c r="AH103" s="268">
        <v>1</v>
      </c>
      <c r="AI103" s="282">
        <v>141</v>
      </c>
      <c r="AJ103" s="258"/>
    </row>
    <row r="104" spans="2:36" ht="18" customHeight="1" x14ac:dyDescent="0.3">
      <c r="B104" s="147" t="s">
        <v>137</v>
      </c>
      <c r="C104" s="200">
        <v>3.6508524833209786E-2</v>
      </c>
      <c r="D104" s="200">
        <v>0.96349147516679023</v>
      </c>
      <c r="E104" s="201">
        <v>1</v>
      </c>
      <c r="F104" s="203">
        <v>5396</v>
      </c>
      <c r="S104" s="229" t="s">
        <v>192</v>
      </c>
      <c r="T104" s="229" t="s">
        <v>137</v>
      </c>
      <c r="U104" s="230">
        <v>3.3803863298662702E-2</v>
      </c>
      <c r="V104" s="232">
        <v>0.9661961367013373</v>
      </c>
      <c r="W104" s="232">
        <v>1</v>
      </c>
      <c r="X104" s="233">
        <v>2692</v>
      </c>
      <c r="AD104" s="267"/>
      <c r="AE104" s="267" t="s">
        <v>73</v>
      </c>
      <c r="AF104" s="281">
        <v>8.1305841924398645E-2</v>
      </c>
      <c r="AG104" s="268">
        <v>0.9186941580756014</v>
      </c>
      <c r="AH104" s="268">
        <v>1</v>
      </c>
      <c r="AI104" s="282">
        <v>14550</v>
      </c>
      <c r="AJ104" s="258"/>
    </row>
    <row r="105" spans="2:36" ht="18" customHeight="1" x14ac:dyDescent="0.3">
      <c r="B105" s="147" t="s">
        <v>150</v>
      </c>
      <c r="C105" s="200">
        <v>0.15600522193211488</v>
      </c>
      <c r="D105" s="200">
        <v>0.84399477806788514</v>
      </c>
      <c r="E105" s="201">
        <v>1</v>
      </c>
      <c r="F105" s="203">
        <v>3064</v>
      </c>
      <c r="S105" s="229"/>
      <c r="T105" s="229" t="s">
        <v>142</v>
      </c>
      <c r="U105" s="230">
        <v>0.15239043824701196</v>
      </c>
      <c r="V105" s="232">
        <v>0.84760956175298796</v>
      </c>
      <c r="W105" s="232">
        <v>1</v>
      </c>
      <c r="X105" s="233">
        <v>1004</v>
      </c>
      <c r="AD105" s="267"/>
      <c r="AE105" s="267" t="s">
        <v>141</v>
      </c>
      <c r="AF105" s="281">
        <v>0.11925779138893892</v>
      </c>
      <c r="AG105" s="268">
        <v>0.88074220861106112</v>
      </c>
      <c r="AH105" s="268">
        <v>1</v>
      </c>
      <c r="AI105" s="282">
        <v>16653</v>
      </c>
      <c r="AJ105" s="258"/>
    </row>
    <row r="106" spans="2:36" ht="18" customHeight="1" x14ac:dyDescent="0.3">
      <c r="B106" s="147" t="s">
        <v>55</v>
      </c>
      <c r="C106" s="200">
        <v>0.3875739644970414</v>
      </c>
      <c r="D106" s="200">
        <v>0.6124260355029586</v>
      </c>
      <c r="E106" s="201">
        <v>1</v>
      </c>
      <c r="F106" s="203">
        <v>1690</v>
      </c>
      <c r="S106" s="229"/>
      <c r="T106" s="229" t="s">
        <v>150</v>
      </c>
      <c r="U106" s="230">
        <v>0.26891615541922292</v>
      </c>
      <c r="V106" s="232">
        <v>0.73108384458077713</v>
      </c>
      <c r="W106" s="232">
        <v>1</v>
      </c>
      <c r="X106" s="233">
        <v>978</v>
      </c>
      <c r="AD106" s="267"/>
      <c r="AE106" s="267" t="s">
        <v>142</v>
      </c>
      <c r="AF106" s="281">
        <v>0.16666666666666663</v>
      </c>
      <c r="AG106" s="268">
        <v>0.83333333333333348</v>
      </c>
      <c r="AH106" s="268">
        <v>1</v>
      </c>
      <c r="AI106" s="282">
        <v>1626</v>
      </c>
      <c r="AJ106" s="258"/>
    </row>
    <row r="107" spans="2:36" ht="18" customHeight="1" x14ac:dyDescent="0.3">
      <c r="B107" s="147" t="s">
        <v>142</v>
      </c>
      <c r="C107" s="200">
        <v>0.16666666666666663</v>
      </c>
      <c r="D107" s="200">
        <v>0.83333333333333348</v>
      </c>
      <c r="E107" s="201">
        <v>1</v>
      </c>
      <c r="F107" s="203">
        <v>1626</v>
      </c>
      <c r="S107" s="229"/>
      <c r="T107" s="229" t="s">
        <v>55</v>
      </c>
      <c r="U107" s="230">
        <v>0.3609154929577465</v>
      </c>
      <c r="V107" s="232">
        <v>0.6390845070422535</v>
      </c>
      <c r="W107" s="232">
        <v>1</v>
      </c>
      <c r="X107" s="233">
        <v>568</v>
      </c>
      <c r="AD107" s="267"/>
      <c r="AE107" s="267" t="s">
        <v>143</v>
      </c>
      <c r="AF107" s="281">
        <v>4.3737083988772706E-2</v>
      </c>
      <c r="AG107" s="268">
        <v>0.95626291601122726</v>
      </c>
      <c r="AH107" s="268">
        <v>1</v>
      </c>
      <c r="AI107" s="282">
        <v>32421</v>
      </c>
      <c r="AJ107" s="258"/>
    </row>
    <row r="108" spans="2:36" ht="18" customHeight="1" x14ac:dyDescent="0.3">
      <c r="B108" s="147" t="s">
        <v>149</v>
      </c>
      <c r="C108" s="200">
        <v>0.42712294043092525</v>
      </c>
      <c r="D108" s="200">
        <v>0.57287705956907475</v>
      </c>
      <c r="E108" s="201">
        <v>1</v>
      </c>
      <c r="F108" s="203">
        <v>789</v>
      </c>
      <c r="S108" s="229"/>
      <c r="T108" s="229" t="s">
        <v>147</v>
      </c>
      <c r="U108" s="230">
        <v>0.11813186813186811</v>
      </c>
      <c r="V108" s="232">
        <v>0.88186813186813184</v>
      </c>
      <c r="W108" s="232">
        <v>1</v>
      </c>
      <c r="X108" s="233">
        <v>364</v>
      </c>
      <c r="AD108" s="267"/>
      <c r="AE108" s="267" t="s">
        <v>144</v>
      </c>
      <c r="AF108" s="281">
        <v>0.34218289085545722</v>
      </c>
      <c r="AG108" s="268">
        <v>0.65781710914454261</v>
      </c>
      <c r="AH108" s="268">
        <v>1</v>
      </c>
      <c r="AI108" s="282">
        <v>339</v>
      </c>
      <c r="AJ108" s="258"/>
    </row>
    <row r="109" spans="2:36" ht="18" customHeight="1" x14ac:dyDescent="0.3">
      <c r="B109" s="147" t="s">
        <v>147</v>
      </c>
      <c r="C109" s="200">
        <v>0.16174183514774496</v>
      </c>
      <c r="D109" s="200">
        <v>0.83825816485225502</v>
      </c>
      <c r="E109" s="201">
        <v>1</v>
      </c>
      <c r="F109" s="203">
        <v>643</v>
      </c>
      <c r="S109" s="229"/>
      <c r="T109" s="229" t="s">
        <v>145</v>
      </c>
      <c r="U109" s="230">
        <v>0.29333333333333333</v>
      </c>
      <c r="V109" s="232">
        <v>0.70666666666666667</v>
      </c>
      <c r="W109" s="232">
        <v>1</v>
      </c>
      <c r="X109" s="233">
        <v>300</v>
      </c>
      <c r="AD109" s="267"/>
      <c r="AE109" s="267" t="s">
        <v>145</v>
      </c>
      <c r="AF109" s="281">
        <v>0.34631147540983614</v>
      </c>
      <c r="AG109" s="268">
        <v>0.65368852459016391</v>
      </c>
      <c r="AH109" s="268">
        <v>1</v>
      </c>
      <c r="AI109" s="282">
        <v>488</v>
      </c>
      <c r="AJ109" s="258"/>
    </row>
    <row r="110" spans="2:36" ht="18" customHeight="1" x14ac:dyDescent="0.3">
      <c r="B110" s="147" t="s">
        <v>145</v>
      </c>
      <c r="C110" s="200">
        <v>0.34631147540983614</v>
      </c>
      <c r="D110" s="200">
        <v>0.65368852459016391</v>
      </c>
      <c r="E110" s="201">
        <v>1</v>
      </c>
      <c r="F110" s="203">
        <v>488</v>
      </c>
      <c r="S110" s="229"/>
      <c r="T110" s="229" t="s">
        <v>144</v>
      </c>
      <c r="U110" s="230">
        <v>0.32191780821917809</v>
      </c>
      <c r="V110" s="232">
        <v>0.67808219178082196</v>
      </c>
      <c r="W110" s="232">
        <v>1</v>
      </c>
      <c r="X110" s="233">
        <v>146</v>
      </c>
      <c r="AD110" s="267"/>
      <c r="AE110" s="267" t="s">
        <v>146</v>
      </c>
      <c r="AF110" s="281">
        <v>0.39568345323741005</v>
      </c>
      <c r="AG110" s="268">
        <v>0.60431654676258995</v>
      </c>
      <c r="AH110" s="268">
        <v>1</v>
      </c>
      <c r="AI110" s="282">
        <v>139</v>
      </c>
      <c r="AJ110" s="258"/>
    </row>
    <row r="111" spans="2:36" ht="18" customHeight="1" x14ac:dyDescent="0.3">
      <c r="B111" s="147" t="s">
        <v>144</v>
      </c>
      <c r="C111" s="200">
        <v>0.34218289085545722</v>
      </c>
      <c r="D111" s="200">
        <v>0.65781710914454261</v>
      </c>
      <c r="E111" s="201">
        <v>1</v>
      </c>
      <c r="F111" s="203">
        <v>339</v>
      </c>
      <c r="S111" s="229"/>
      <c r="T111" s="229" t="s">
        <v>149</v>
      </c>
      <c r="U111" s="230">
        <v>0.72142857142857142</v>
      </c>
      <c r="V111" s="232">
        <v>0.27857142857142858</v>
      </c>
      <c r="W111" s="232">
        <v>1</v>
      </c>
      <c r="X111" s="233">
        <v>140</v>
      </c>
      <c r="AD111" s="267"/>
      <c r="AE111" s="267" t="s">
        <v>147</v>
      </c>
      <c r="AF111" s="281">
        <v>0.16174183514774496</v>
      </c>
      <c r="AG111" s="268">
        <v>0.83825816485225502</v>
      </c>
      <c r="AH111" s="268">
        <v>1</v>
      </c>
      <c r="AI111" s="282">
        <v>643</v>
      </c>
      <c r="AJ111" s="258"/>
    </row>
    <row r="112" spans="2:36" ht="18" customHeight="1" x14ac:dyDescent="0.3">
      <c r="B112" s="147" t="s">
        <v>151</v>
      </c>
      <c r="C112" s="200">
        <v>0.49748743718592964</v>
      </c>
      <c r="D112" s="200">
        <v>0.50251256281407031</v>
      </c>
      <c r="E112" s="201">
        <v>1</v>
      </c>
      <c r="F112" s="203">
        <v>199</v>
      </c>
      <c r="S112" s="229"/>
      <c r="T112" s="229" t="s">
        <v>151</v>
      </c>
      <c r="U112" s="230">
        <v>0.44736842105263158</v>
      </c>
      <c r="V112" s="232">
        <v>0.55263157894736847</v>
      </c>
      <c r="W112" s="232">
        <v>1</v>
      </c>
      <c r="X112" s="233">
        <v>114</v>
      </c>
      <c r="AD112" s="267"/>
      <c r="AE112" s="267" t="s">
        <v>148</v>
      </c>
      <c r="AF112" s="281">
        <v>0.1356162830252863</v>
      </c>
      <c r="AG112" s="268">
        <v>0.86438371697471372</v>
      </c>
      <c r="AH112" s="268">
        <v>1</v>
      </c>
      <c r="AI112" s="282">
        <v>8819</v>
      </c>
      <c r="AJ112" s="258"/>
    </row>
    <row r="113" spans="1:36" ht="18" customHeight="1" x14ac:dyDescent="0.3">
      <c r="B113" s="147" t="s">
        <v>139</v>
      </c>
      <c r="C113" s="200">
        <v>0.37062937062937062</v>
      </c>
      <c r="D113" s="200">
        <v>0.62937062937062938</v>
      </c>
      <c r="E113" s="201">
        <v>1</v>
      </c>
      <c r="F113" s="203">
        <v>143</v>
      </c>
      <c r="S113" s="229"/>
      <c r="T113" s="229" t="s">
        <v>139</v>
      </c>
      <c r="U113" s="230">
        <v>0.44047619047619047</v>
      </c>
      <c r="V113" s="232">
        <v>0.55952380952380953</v>
      </c>
      <c r="W113" s="232">
        <v>1</v>
      </c>
      <c r="X113" s="233">
        <v>84</v>
      </c>
      <c r="AD113" s="267"/>
      <c r="AE113" s="267" t="s">
        <v>149</v>
      </c>
      <c r="AF113" s="281">
        <v>0.42712294043092525</v>
      </c>
      <c r="AG113" s="268">
        <v>0.57287705956907475</v>
      </c>
      <c r="AH113" s="268">
        <v>1</v>
      </c>
      <c r="AI113" s="282">
        <v>789</v>
      </c>
      <c r="AJ113" s="258"/>
    </row>
    <row r="114" spans="1:36" ht="18" customHeight="1" x14ac:dyDescent="0.3">
      <c r="B114" s="147" t="s">
        <v>140</v>
      </c>
      <c r="C114" s="200">
        <v>0.29078014184397161</v>
      </c>
      <c r="D114" s="200">
        <v>0.70921985815602839</v>
      </c>
      <c r="E114" s="201">
        <v>1</v>
      </c>
      <c r="F114" s="203">
        <v>141</v>
      </c>
      <c r="S114" s="229"/>
      <c r="T114" s="229" t="s">
        <v>146</v>
      </c>
      <c r="U114" s="230">
        <v>0.29577464788732394</v>
      </c>
      <c r="V114" s="232">
        <v>0.70422535211267601</v>
      </c>
      <c r="W114" s="232">
        <v>1</v>
      </c>
      <c r="X114" s="233">
        <v>71</v>
      </c>
      <c r="AD114" s="267"/>
      <c r="AE114" s="267" t="s">
        <v>55</v>
      </c>
      <c r="AF114" s="281">
        <v>0.3875739644970414</v>
      </c>
      <c r="AG114" s="268">
        <v>0.6124260355029586</v>
      </c>
      <c r="AH114" s="268">
        <v>1</v>
      </c>
      <c r="AI114" s="282">
        <v>1690</v>
      </c>
      <c r="AJ114" s="258"/>
    </row>
    <row r="115" spans="1:36" ht="31.2" customHeight="1" x14ac:dyDescent="0.3">
      <c r="B115" s="147" t="s">
        <v>138</v>
      </c>
      <c r="C115" s="200">
        <v>0.45323741007194246</v>
      </c>
      <c r="D115" s="200">
        <v>0.5467625899280576</v>
      </c>
      <c r="E115" s="201">
        <v>1</v>
      </c>
      <c r="F115" s="203">
        <v>139</v>
      </c>
      <c r="S115" s="229"/>
      <c r="T115" s="229" t="s">
        <v>140</v>
      </c>
      <c r="U115" s="230">
        <v>0.22448979591836735</v>
      </c>
      <c r="V115" s="232">
        <v>0.77551020408163263</v>
      </c>
      <c r="W115" s="232">
        <v>1</v>
      </c>
      <c r="X115" s="233">
        <v>49</v>
      </c>
      <c r="AD115" s="267"/>
      <c r="AE115" s="267" t="s">
        <v>150</v>
      </c>
      <c r="AF115" s="281">
        <v>0.15600522193211488</v>
      </c>
      <c r="AG115" s="268">
        <v>0.84399477806788514</v>
      </c>
      <c r="AH115" s="268">
        <v>1</v>
      </c>
      <c r="AI115" s="282">
        <v>3064</v>
      </c>
      <c r="AJ115" s="258"/>
    </row>
    <row r="116" spans="1:36" ht="18" customHeight="1" x14ac:dyDescent="0.3">
      <c r="B116" s="147" t="s">
        <v>146</v>
      </c>
      <c r="C116" s="200">
        <v>0.39568345323741005</v>
      </c>
      <c r="D116" s="200">
        <v>0.60431654676258995</v>
      </c>
      <c r="E116" s="201">
        <v>1</v>
      </c>
      <c r="F116" s="203">
        <v>139</v>
      </c>
      <c r="S116" s="229"/>
      <c r="T116" s="229" t="s">
        <v>138</v>
      </c>
      <c r="U116" s="230">
        <v>0.4375</v>
      </c>
      <c r="V116" s="232">
        <v>0.5625</v>
      </c>
      <c r="W116" s="232">
        <v>1</v>
      </c>
      <c r="X116" s="233">
        <v>48</v>
      </c>
      <c r="AD116" s="267"/>
      <c r="AE116" s="267" t="s">
        <v>151</v>
      </c>
      <c r="AF116" s="281">
        <v>0.49748743718592964</v>
      </c>
      <c r="AG116" s="268">
        <v>0.50251256281407031</v>
      </c>
      <c r="AH116" s="268">
        <v>1</v>
      </c>
      <c r="AI116" s="282">
        <v>199</v>
      </c>
      <c r="AJ116" s="258"/>
    </row>
    <row r="117" spans="1:36" ht="19.2" customHeight="1" x14ac:dyDescent="0.3">
      <c r="B117" s="147" t="s">
        <v>154</v>
      </c>
      <c r="C117" s="200">
        <v>1</v>
      </c>
      <c r="D117" s="200">
        <v>0</v>
      </c>
      <c r="E117" s="201">
        <v>1</v>
      </c>
      <c r="F117" s="203">
        <v>28</v>
      </c>
      <c r="S117" s="229"/>
      <c r="T117" s="229" t="s">
        <v>154</v>
      </c>
      <c r="U117" s="230">
        <v>1</v>
      </c>
      <c r="V117" s="232">
        <v>0</v>
      </c>
      <c r="W117" s="232">
        <v>1</v>
      </c>
      <c r="X117" s="233">
        <v>16</v>
      </c>
      <c r="AD117" s="267"/>
      <c r="AE117" s="267" t="s">
        <v>152</v>
      </c>
      <c r="AF117" s="281">
        <v>8.9897352782279866E-2</v>
      </c>
      <c r="AG117" s="268">
        <v>0.91010264721772016</v>
      </c>
      <c r="AH117" s="268">
        <v>1</v>
      </c>
      <c r="AI117" s="282">
        <v>18510</v>
      </c>
      <c r="AJ117" s="258"/>
    </row>
    <row r="118" spans="1:36" ht="18" customHeight="1" x14ac:dyDescent="0.3">
      <c r="B118" s="110" t="s">
        <v>18</v>
      </c>
      <c r="C118" s="202">
        <v>9.7514311539620369E-2</v>
      </c>
      <c r="D118" s="202">
        <v>0.90248568846037969</v>
      </c>
      <c r="E118" s="201">
        <v>1</v>
      </c>
      <c r="F118" s="204">
        <v>132760</v>
      </c>
      <c r="S118" s="234"/>
      <c r="T118" s="234" t="s">
        <v>123</v>
      </c>
      <c r="U118" s="235">
        <v>9.1701656615008786E-2</v>
      </c>
      <c r="V118" s="237">
        <v>0.90829834338499127</v>
      </c>
      <c r="W118" s="237">
        <v>1</v>
      </c>
      <c r="X118" s="238">
        <v>65495</v>
      </c>
      <c r="AD118" s="267"/>
      <c r="AE118" s="267" t="s">
        <v>153</v>
      </c>
      <c r="AF118" s="281">
        <v>5.7253760310528867E-3</v>
      </c>
      <c r="AG118" s="268">
        <v>0.99427462396894706</v>
      </c>
      <c r="AH118" s="268">
        <v>1</v>
      </c>
      <c r="AI118" s="282">
        <v>10305</v>
      </c>
      <c r="AJ118" s="258"/>
    </row>
    <row r="119" spans="1:36" ht="68.400000000000006" x14ac:dyDescent="0.3">
      <c r="C119" s="28"/>
      <c r="D119" s="28"/>
      <c r="S119" s="113"/>
      <c r="T119" s="113" t="s">
        <v>123</v>
      </c>
      <c r="U119" s="132">
        <v>0.11766466594199473</v>
      </c>
      <c r="AD119" s="267"/>
      <c r="AE119" s="267" t="s">
        <v>154</v>
      </c>
      <c r="AF119" s="281">
        <v>1</v>
      </c>
      <c r="AG119" s="268">
        <v>0</v>
      </c>
      <c r="AH119" s="268">
        <v>1</v>
      </c>
      <c r="AI119" s="282">
        <v>28</v>
      </c>
      <c r="AJ119" s="258"/>
    </row>
    <row r="120" spans="1:36" x14ac:dyDescent="0.3">
      <c r="S120" s="117"/>
      <c r="T120" s="118"/>
      <c r="U120" s="61"/>
      <c r="AD120" s="267"/>
      <c r="AE120" s="267" t="s">
        <v>123</v>
      </c>
      <c r="AF120" s="281">
        <v>9.7514311539620369E-2</v>
      </c>
      <c r="AG120" s="268">
        <v>0.90248568846037969</v>
      </c>
      <c r="AH120" s="268">
        <v>1</v>
      </c>
      <c r="AI120" s="282">
        <v>132760</v>
      </c>
      <c r="AJ120" s="258"/>
    </row>
    <row r="121" spans="1:36" ht="20.25" customHeight="1" x14ac:dyDescent="0.3">
      <c r="B121" s="15" t="s">
        <v>231</v>
      </c>
      <c r="S121" s="117"/>
      <c r="T121" s="118"/>
      <c r="U121" s="61"/>
      <c r="AD121" s="271"/>
      <c r="AE121" s="271" t="s">
        <v>121</v>
      </c>
      <c r="AF121" s="283">
        <v>0</v>
      </c>
      <c r="AG121" s="272">
        <v>0</v>
      </c>
      <c r="AH121" s="272">
        <v>0</v>
      </c>
      <c r="AI121" s="284">
        <v>0</v>
      </c>
      <c r="AJ121" s="258"/>
    </row>
    <row r="122" spans="1:36" x14ac:dyDescent="0.3">
      <c r="S122" s="117"/>
      <c r="T122" s="118"/>
      <c r="U122" s="61"/>
    </row>
    <row r="123" spans="1:36" x14ac:dyDescent="0.3">
      <c r="A123" s="15" t="s">
        <v>20</v>
      </c>
      <c r="S123" s="117"/>
      <c r="T123" s="118"/>
      <c r="U123" s="61"/>
    </row>
    <row r="124" spans="1:36" x14ac:dyDescent="0.3">
      <c r="S124" s="117"/>
      <c r="T124" s="118"/>
      <c r="U124" s="61"/>
    </row>
    <row r="125" spans="1:36" x14ac:dyDescent="0.3">
      <c r="S125" s="117"/>
      <c r="T125" s="118"/>
      <c r="U125" s="61"/>
    </row>
    <row r="126" spans="1:36" x14ac:dyDescent="0.3">
      <c r="S126" s="119"/>
      <c r="T126" s="120"/>
      <c r="U126" s="61"/>
    </row>
    <row r="155" spans="1:1" x14ac:dyDescent="0.3">
      <c r="A155" s="15" t="s">
        <v>21</v>
      </c>
    </row>
    <row r="185" spans="2:27" ht="15" customHeight="1" x14ac:dyDescent="0.3"/>
    <row r="186" spans="2:27" s="16" customFormat="1" ht="24.75" customHeight="1" x14ac:dyDescent="0.2">
      <c r="B186" s="1" t="s">
        <v>232</v>
      </c>
      <c r="S186" s="241" t="s">
        <v>121</v>
      </c>
      <c r="T186" s="241"/>
      <c r="U186" s="242" t="s">
        <v>118</v>
      </c>
      <c r="V186" s="243"/>
      <c r="W186" s="243"/>
      <c r="X186" s="243"/>
    </row>
    <row r="187" spans="2:27" ht="22.5" customHeight="1" x14ac:dyDescent="0.3">
      <c r="B187" s="364" t="s">
        <v>22</v>
      </c>
      <c r="C187" s="364" t="s">
        <v>27</v>
      </c>
      <c r="D187" s="364"/>
      <c r="E187" s="364" t="s">
        <v>25</v>
      </c>
      <c r="F187" s="364"/>
      <c r="G187" s="364" t="s">
        <v>18</v>
      </c>
      <c r="H187" s="364"/>
      <c r="S187" s="241"/>
      <c r="T187" s="241"/>
      <c r="U187" s="242" t="s">
        <v>184</v>
      </c>
      <c r="V187" s="243"/>
      <c r="W187" s="243" t="s">
        <v>185</v>
      </c>
      <c r="X187" s="243"/>
    </row>
    <row r="188" spans="2:27" ht="18" customHeight="1" x14ac:dyDescent="0.3">
      <c r="B188" s="365"/>
      <c r="C188" s="33" t="s">
        <v>33</v>
      </c>
      <c r="D188" s="33" t="s">
        <v>36</v>
      </c>
      <c r="E188" s="33" t="s">
        <v>33</v>
      </c>
      <c r="F188" s="33" t="s">
        <v>36</v>
      </c>
      <c r="G188" s="33" t="s">
        <v>33</v>
      </c>
      <c r="H188" s="33" t="s">
        <v>36</v>
      </c>
      <c r="S188" s="254" t="s">
        <v>121</v>
      </c>
      <c r="T188" s="254"/>
      <c r="U188" s="255" t="s">
        <v>118</v>
      </c>
      <c r="V188" s="256"/>
      <c r="W188" s="256"/>
      <c r="X188" s="256"/>
      <c r="Y188" s="256"/>
      <c r="Z188" s="257"/>
      <c r="AA188" s="258"/>
    </row>
    <row r="189" spans="2:27" ht="18" customHeight="1" x14ac:dyDescent="0.3">
      <c r="B189" s="303" t="s">
        <v>23</v>
      </c>
      <c r="C189" s="300">
        <v>16002</v>
      </c>
      <c r="D189" s="289">
        <v>0.20216031836270609</v>
      </c>
      <c r="E189" s="288">
        <v>63153</v>
      </c>
      <c r="F189" s="290">
        <v>0.7978396816372938</v>
      </c>
      <c r="G189" s="291">
        <v>79155</v>
      </c>
      <c r="H189" s="290">
        <v>1</v>
      </c>
      <c r="J189" s="12">
        <f>C189/C192*100</f>
        <v>77.73621569103716</v>
      </c>
      <c r="S189" s="254"/>
      <c r="T189" s="254"/>
      <c r="U189" s="255" t="s">
        <v>213</v>
      </c>
      <c r="V189" s="256"/>
      <c r="W189" s="256" t="s">
        <v>214</v>
      </c>
      <c r="X189" s="256"/>
      <c r="Y189" s="256" t="s">
        <v>123</v>
      </c>
      <c r="Z189" s="257"/>
      <c r="AA189" s="258"/>
    </row>
    <row r="190" spans="2:27" ht="22.8" customHeight="1" x14ac:dyDescent="0.3">
      <c r="B190" s="303" t="s">
        <v>24</v>
      </c>
      <c r="C190" s="301">
        <v>1494</v>
      </c>
      <c r="D190" s="293">
        <v>7.902671250991801E-2</v>
      </c>
      <c r="E190" s="292">
        <v>17411</v>
      </c>
      <c r="F190" s="294">
        <v>0.920973287490082</v>
      </c>
      <c r="G190" s="295">
        <v>18905</v>
      </c>
      <c r="H190" s="294">
        <v>1</v>
      </c>
      <c r="J190" s="12">
        <f>C190/C192*100</f>
        <v>7.2577119261598249</v>
      </c>
      <c r="S190" s="259"/>
      <c r="T190" s="259"/>
      <c r="U190" s="260" t="s">
        <v>124</v>
      </c>
      <c r="V190" s="261" t="s">
        <v>122</v>
      </c>
      <c r="W190" s="261" t="s">
        <v>124</v>
      </c>
      <c r="X190" s="261" t="s">
        <v>122</v>
      </c>
      <c r="Y190" s="261" t="s">
        <v>124</v>
      </c>
      <c r="Z190" s="262" t="s">
        <v>122</v>
      </c>
      <c r="AA190" s="258"/>
    </row>
    <row r="191" spans="2:27" ht="18" customHeight="1" x14ac:dyDescent="0.3">
      <c r="B191" s="303" t="s">
        <v>25</v>
      </c>
      <c r="C191" s="301">
        <v>3089</v>
      </c>
      <c r="D191" s="293">
        <v>8.9020172910662818E-2</v>
      </c>
      <c r="E191" s="292">
        <v>31611</v>
      </c>
      <c r="F191" s="294">
        <v>0.91097982708933722</v>
      </c>
      <c r="G191" s="295">
        <v>34700</v>
      </c>
      <c r="H191" s="294">
        <v>1</v>
      </c>
      <c r="J191" s="12">
        <f>C191/C192*100</f>
        <v>15.006072382803012</v>
      </c>
      <c r="S191" s="263" t="s">
        <v>117</v>
      </c>
      <c r="T191" s="263" t="s">
        <v>23</v>
      </c>
      <c r="U191" s="279">
        <v>0.20216031836270609</v>
      </c>
      <c r="V191" s="265">
        <v>16002</v>
      </c>
      <c r="W191" s="264">
        <v>0.7978396816372938</v>
      </c>
      <c r="X191" s="265">
        <v>63153</v>
      </c>
      <c r="Y191" s="264">
        <v>1</v>
      </c>
      <c r="Z191" s="280">
        <v>79155</v>
      </c>
      <c r="AA191" s="258"/>
    </row>
    <row r="192" spans="2:27" ht="18" customHeight="1" x14ac:dyDescent="0.3">
      <c r="B192" s="303" t="s">
        <v>18</v>
      </c>
      <c r="C192" s="302">
        <v>20585</v>
      </c>
      <c r="D192" s="297">
        <v>0.15505423320277192</v>
      </c>
      <c r="E192" s="296">
        <v>112175</v>
      </c>
      <c r="F192" s="298">
        <v>0.8449457667972281</v>
      </c>
      <c r="G192" s="299">
        <v>132760</v>
      </c>
      <c r="H192" s="298">
        <v>1</v>
      </c>
      <c r="J192" s="12">
        <f>(D192/D$192)*100</f>
        <v>100</v>
      </c>
      <c r="S192" s="267"/>
      <c r="T192" s="267" t="s">
        <v>24</v>
      </c>
      <c r="U192" s="281">
        <v>7.902671250991801E-2</v>
      </c>
      <c r="V192" s="269">
        <v>1494</v>
      </c>
      <c r="W192" s="268">
        <v>0.920973287490082</v>
      </c>
      <c r="X192" s="269">
        <v>17411</v>
      </c>
      <c r="Y192" s="268">
        <v>1</v>
      </c>
      <c r="Z192" s="282">
        <v>18905</v>
      </c>
      <c r="AA192" s="258"/>
    </row>
    <row r="193" spans="2:27" ht="22.8" x14ac:dyDescent="0.3">
      <c r="B193" s="59"/>
      <c r="C193" s="68"/>
      <c r="D193" s="69"/>
      <c r="E193" s="68"/>
      <c r="F193" s="69"/>
      <c r="G193" s="70"/>
      <c r="H193" s="71"/>
      <c r="S193" s="267"/>
      <c r="T193" s="267" t="s">
        <v>25</v>
      </c>
      <c r="U193" s="281">
        <v>8.9020172910662818E-2</v>
      </c>
      <c r="V193" s="269">
        <v>3089</v>
      </c>
      <c r="W193" s="268">
        <v>0.91097982708933722</v>
      </c>
      <c r="X193" s="269">
        <v>31611</v>
      </c>
      <c r="Y193" s="268">
        <v>1</v>
      </c>
      <c r="Z193" s="282">
        <v>34700</v>
      </c>
      <c r="AA193" s="258"/>
    </row>
    <row r="194" spans="2:27" x14ac:dyDescent="0.3">
      <c r="B194" s="59"/>
      <c r="C194" s="59"/>
      <c r="D194" s="59"/>
      <c r="E194" s="59"/>
      <c r="F194" s="59"/>
      <c r="G194" s="59"/>
      <c r="K194" s="58">
        <f>D192+F192</f>
        <v>1</v>
      </c>
      <c r="S194" s="271"/>
      <c r="T194" s="271" t="s">
        <v>123</v>
      </c>
      <c r="U194" s="283">
        <v>0.15505423320277192</v>
      </c>
      <c r="V194" s="273">
        <v>20585</v>
      </c>
      <c r="W194" s="272">
        <v>0.8449457667972281</v>
      </c>
      <c r="X194" s="273">
        <v>112175</v>
      </c>
      <c r="Y194" s="272">
        <v>1</v>
      </c>
      <c r="Z194" s="284">
        <v>132760</v>
      </c>
      <c r="AA194" s="258"/>
    </row>
    <row r="196" spans="2:27" s="16" customFormat="1" ht="20.25" customHeight="1" x14ac:dyDescent="0.3">
      <c r="B196" s="1" t="s">
        <v>233</v>
      </c>
    </row>
    <row r="217" spans="2:31" ht="25.5" customHeight="1" x14ac:dyDescent="0.3">
      <c r="B217" s="1" t="s">
        <v>234</v>
      </c>
    </row>
    <row r="218" spans="2:31" ht="25.5" customHeight="1" x14ac:dyDescent="0.3">
      <c r="B218" s="364" t="s">
        <v>56</v>
      </c>
      <c r="C218" s="364" t="s">
        <v>27</v>
      </c>
      <c r="D218" s="364"/>
      <c r="E218" s="364" t="s">
        <v>25</v>
      </c>
      <c r="F218" s="364"/>
      <c r="G218" s="364" t="s">
        <v>18</v>
      </c>
      <c r="H218" s="364"/>
      <c r="M218" s="367" t="s">
        <v>121</v>
      </c>
      <c r="N218" s="367"/>
      <c r="O218" s="368" t="s">
        <v>183</v>
      </c>
      <c r="P218" s="369"/>
      <c r="Q218" s="369"/>
      <c r="R218" s="369"/>
      <c r="S218" s="369"/>
      <c r="T218" s="370"/>
      <c r="U218" s="60"/>
    </row>
    <row r="219" spans="2:31" ht="19.5" customHeight="1" x14ac:dyDescent="0.3">
      <c r="B219" s="365"/>
      <c r="C219" s="33" t="s">
        <v>33</v>
      </c>
      <c r="D219" s="33" t="s">
        <v>36</v>
      </c>
      <c r="E219" s="33" t="s">
        <v>33</v>
      </c>
      <c r="F219" s="33" t="s">
        <v>36</v>
      </c>
      <c r="G219" s="33" t="s">
        <v>33</v>
      </c>
      <c r="H219" s="33" t="s">
        <v>36</v>
      </c>
      <c r="M219" s="367"/>
      <c r="N219" s="367"/>
      <c r="O219" s="368" t="s">
        <v>184</v>
      </c>
      <c r="P219" s="369"/>
      <c r="Q219" s="369" t="s">
        <v>185</v>
      </c>
      <c r="R219" s="369"/>
      <c r="S219" s="369" t="s">
        <v>123</v>
      </c>
      <c r="T219" s="370"/>
      <c r="U219" s="60"/>
      <c r="W219" s="342" t="s">
        <v>121</v>
      </c>
      <c r="X219" s="342"/>
      <c r="Y219" s="358" t="s">
        <v>118</v>
      </c>
      <c r="Z219" s="343"/>
      <c r="AA219" s="343"/>
      <c r="AB219" s="343"/>
      <c r="AC219" s="343"/>
      <c r="AD219" s="346"/>
      <c r="AE219" s="258"/>
    </row>
    <row r="220" spans="2:31" ht="18" customHeight="1" x14ac:dyDescent="0.3">
      <c r="B220" s="66" t="s">
        <v>29</v>
      </c>
      <c r="C220" s="142">
        <v>520</v>
      </c>
      <c r="D220" s="205">
        <v>0.65491183879093195</v>
      </c>
      <c r="E220" s="142">
        <v>274</v>
      </c>
      <c r="F220" s="205">
        <v>0.34508816120906799</v>
      </c>
      <c r="G220" s="142">
        <v>794</v>
      </c>
      <c r="H220" s="205">
        <v>1</v>
      </c>
      <c r="J220" s="12">
        <f>(C220/C$225)*100</f>
        <v>2.5261112460529511</v>
      </c>
      <c r="M220" s="371"/>
      <c r="N220" s="371"/>
      <c r="O220" s="372" t="s">
        <v>122</v>
      </c>
      <c r="P220" s="373" t="s">
        <v>124</v>
      </c>
      <c r="Q220" s="373" t="s">
        <v>122</v>
      </c>
      <c r="R220" s="373" t="s">
        <v>124</v>
      </c>
      <c r="S220" s="373" t="s">
        <v>122</v>
      </c>
      <c r="T220" s="374" t="s">
        <v>124</v>
      </c>
      <c r="U220" s="60"/>
      <c r="W220" s="342"/>
      <c r="X220" s="342"/>
      <c r="Y220" s="358" t="s">
        <v>213</v>
      </c>
      <c r="Z220" s="343"/>
      <c r="AA220" s="343" t="s">
        <v>214</v>
      </c>
      <c r="AB220" s="343"/>
      <c r="AC220" s="343" t="s">
        <v>123</v>
      </c>
      <c r="AD220" s="346"/>
      <c r="AE220" s="258"/>
    </row>
    <row r="221" spans="2:31" ht="18" customHeight="1" x14ac:dyDescent="0.3">
      <c r="B221" s="66" t="s">
        <v>30</v>
      </c>
      <c r="C221" s="142">
        <v>345</v>
      </c>
      <c r="D221" s="205">
        <v>0.28797996661101838</v>
      </c>
      <c r="E221" s="142">
        <v>853</v>
      </c>
      <c r="F221" s="205">
        <v>0.71202003338898168</v>
      </c>
      <c r="G221" s="142">
        <v>1198</v>
      </c>
      <c r="H221" s="205">
        <v>1</v>
      </c>
      <c r="J221" s="12">
        <f>(C221/C$225)*100</f>
        <v>1.6759776536312849</v>
      </c>
      <c r="M221" s="375" t="s">
        <v>121</v>
      </c>
      <c r="N221" s="375"/>
      <c r="O221" s="376" t="s">
        <v>118</v>
      </c>
      <c r="P221" s="377"/>
      <c r="Q221" s="377"/>
      <c r="R221" s="377"/>
      <c r="S221" s="377"/>
      <c r="T221" s="378"/>
      <c r="U221" s="223"/>
      <c r="W221" s="344"/>
      <c r="X221" s="344"/>
      <c r="Y221" s="359" t="s">
        <v>122</v>
      </c>
      <c r="Z221" s="345" t="s">
        <v>124</v>
      </c>
      <c r="AA221" s="345" t="s">
        <v>122</v>
      </c>
      <c r="AB221" s="345" t="s">
        <v>124</v>
      </c>
      <c r="AC221" s="345" t="s">
        <v>122</v>
      </c>
      <c r="AD221" s="347" t="s">
        <v>124</v>
      </c>
      <c r="AE221" s="258"/>
    </row>
    <row r="222" spans="2:31" ht="18" customHeight="1" x14ac:dyDescent="0.3">
      <c r="B222" s="66" t="s">
        <v>31</v>
      </c>
      <c r="C222" s="142">
        <v>352</v>
      </c>
      <c r="D222" s="205">
        <v>0.30823117338003503</v>
      </c>
      <c r="E222" s="142">
        <v>790</v>
      </c>
      <c r="F222" s="205">
        <v>0.69176882661996497</v>
      </c>
      <c r="G222" s="142">
        <v>1142</v>
      </c>
      <c r="H222" s="205">
        <v>1</v>
      </c>
      <c r="J222" s="12">
        <f>(C222/C$225)*100</f>
        <v>1.7099829973281515</v>
      </c>
      <c r="M222" s="375"/>
      <c r="N222" s="375"/>
      <c r="O222" s="376" t="s">
        <v>184</v>
      </c>
      <c r="P222" s="377"/>
      <c r="Q222" s="377" t="s">
        <v>185</v>
      </c>
      <c r="R222" s="377"/>
      <c r="S222" s="377" t="s">
        <v>123</v>
      </c>
      <c r="T222" s="378"/>
      <c r="U222" s="223"/>
      <c r="W222" s="263" t="s">
        <v>216</v>
      </c>
      <c r="X222" s="267" t="s">
        <v>220</v>
      </c>
      <c r="Y222" s="305">
        <v>520</v>
      </c>
      <c r="Z222" s="268">
        <v>0.65491183879093195</v>
      </c>
      <c r="AA222" s="269">
        <v>274</v>
      </c>
      <c r="AB222" s="268">
        <v>0.34508816120906799</v>
      </c>
      <c r="AC222" s="269">
        <v>794</v>
      </c>
      <c r="AD222" s="270">
        <v>1</v>
      </c>
      <c r="AE222" s="258"/>
    </row>
    <row r="223" spans="2:31" ht="18" customHeight="1" x14ac:dyDescent="0.3">
      <c r="B223" s="66" t="s">
        <v>32</v>
      </c>
      <c r="C223" s="142">
        <v>8</v>
      </c>
      <c r="D223" s="205">
        <v>0.19047619047619047</v>
      </c>
      <c r="E223" s="142">
        <v>34</v>
      </c>
      <c r="F223" s="205">
        <v>0.80952380952380953</v>
      </c>
      <c r="G223" s="142">
        <v>42</v>
      </c>
      <c r="H223" s="205">
        <v>1</v>
      </c>
      <c r="J223" s="12">
        <f>(C223/C$225)*100</f>
        <v>3.8863249939276173E-2</v>
      </c>
      <c r="M223" s="379"/>
      <c r="N223" s="379"/>
      <c r="O223" s="380" t="s">
        <v>122</v>
      </c>
      <c r="P223" s="381" t="s">
        <v>124</v>
      </c>
      <c r="Q223" s="381" t="s">
        <v>122</v>
      </c>
      <c r="R223" s="381" t="s">
        <v>124</v>
      </c>
      <c r="S223" s="381" t="s">
        <v>122</v>
      </c>
      <c r="T223" s="382" t="s">
        <v>124</v>
      </c>
      <c r="U223" s="223"/>
      <c r="W223" s="267"/>
      <c r="X223" s="267" t="s">
        <v>219</v>
      </c>
      <c r="Y223" s="305">
        <v>345</v>
      </c>
      <c r="Z223" s="268">
        <v>0.28797996661101838</v>
      </c>
      <c r="AA223" s="269">
        <v>853</v>
      </c>
      <c r="AB223" s="268">
        <v>0.71202003338898168</v>
      </c>
      <c r="AC223" s="269">
        <v>1198</v>
      </c>
      <c r="AD223" s="270">
        <v>1</v>
      </c>
      <c r="AE223" s="258"/>
    </row>
    <row r="224" spans="2:31" ht="18" customHeight="1" x14ac:dyDescent="0.3">
      <c r="B224" s="66" t="s">
        <v>25</v>
      </c>
      <c r="C224" s="142">
        <v>19360</v>
      </c>
      <c r="D224" s="205">
        <v>0.1494011606371157</v>
      </c>
      <c r="E224" s="142">
        <v>110224</v>
      </c>
      <c r="F224" s="205">
        <v>0.85059883936288427</v>
      </c>
      <c r="G224" s="142">
        <v>129584</v>
      </c>
      <c r="H224" s="205">
        <v>1</v>
      </c>
      <c r="J224" s="12">
        <f>(C224/C$225)*100</f>
        <v>94.049064853048336</v>
      </c>
      <c r="M224" s="224" t="s">
        <v>191</v>
      </c>
      <c r="N224" s="224" t="s">
        <v>32</v>
      </c>
      <c r="O224" s="244">
        <v>1</v>
      </c>
      <c r="P224" s="227">
        <v>6.25E-2</v>
      </c>
      <c r="Q224" s="226">
        <v>15</v>
      </c>
      <c r="R224" s="227">
        <v>0.9375</v>
      </c>
      <c r="S224" s="226">
        <v>16</v>
      </c>
      <c r="T224" s="245">
        <v>1</v>
      </c>
      <c r="U224" s="223"/>
      <c r="W224" s="267"/>
      <c r="X224" s="267" t="s">
        <v>218</v>
      </c>
      <c r="Y224" s="305">
        <v>352</v>
      </c>
      <c r="Z224" s="268">
        <v>0.30823117338003503</v>
      </c>
      <c r="AA224" s="269">
        <v>790</v>
      </c>
      <c r="AB224" s="268">
        <v>0.69176882661996497</v>
      </c>
      <c r="AC224" s="269">
        <v>1142</v>
      </c>
      <c r="AD224" s="270">
        <v>1</v>
      </c>
      <c r="AE224" s="258"/>
    </row>
    <row r="225" spans="2:31" ht="18" customHeight="1" x14ac:dyDescent="0.3">
      <c r="B225" s="67" t="s">
        <v>18</v>
      </c>
      <c r="C225" s="63">
        <v>20585</v>
      </c>
      <c r="D225" s="65">
        <v>0.15505423320277192</v>
      </c>
      <c r="E225" s="63">
        <v>112175</v>
      </c>
      <c r="F225" s="65">
        <v>0.8449457667972281</v>
      </c>
      <c r="G225" s="63">
        <v>132760</v>
      </c>
      <c r="H225" s="65">
        <v>1</v>
      </c>
      <c r="J225" s="12">
        <f t="shared" ref="J225" si="2">(C225/C$225)*100</f>
        <v>100</v>
      </c>
      <c r="M225" s="229"/>
      <c r="N225" s="229" t="s">
        <v>31</v>
      </c>
      <c r="O225" s="246">
        <v>186</v>
      </c>
      <c r="P225" s="232">
        <v>0.31365935919055649</v>
      </c>
      <c r="Q225" s="231">
        <v>407</v>
      </c>
      <c r="R225" s="232">
        <v>0.68634064080944346</v>
      </c>
      <c r="S225" s="231">
        <v>593</v>
      </c>
      <c r="T225" s="247">
        <v>1</v>
      </c>
      <c r="U225" s="223"/>
      <c r="W225" s="267"/>
      <c r="X225" s="263" t="s">
        <v>217</v>
      </c>
      <c r="Y225" s="304">
        <v>8</v>
      </c>
      <c r="Z225" s="264">
        <v>0.19047619047619047</v>
      </c>
      <c r="AA225" s="265">
        <v>34</v>
      </c>
      <c r="AB225" s="264">
        <v>0.80952380952380953</v>
      </c>
      <c r="AC225" s="265">
        <v>42</v>
      </c>
      <c r="AD225" s="266">
        <v>1</v>
      </c>
      <c r="AE225" s="258"/>
    </row>
    <row r="226" spans="2:31" ht="22.8" x14ac:dyDescent="0.3">
      <c r="M226" s="229"/>
      <c r="N226" s="229" t="s">
        <v>30</v>
      </c>
      <c r="O226" s="246">
        <v>182</v>
      </c>
      <c r="P226" s="232">
        <v>0.28260869565217389</v>
      </c>
      <c r="Q226" s="231">
        <v>462</v>
      </c>
      <c r="R226" s="232">
        <v>0.71739130434782605</v>
      </c>
      <c r="S226" s="231">
        <v>644</v>
      </c>
      <c r="T226" s="247">
        <v>1</v>
      </c>
      <c r="U226" s="223"/>
      <c r="W226" s="267"/>
      <c r="X226" s="267" t="s">
        <v>25</v>
      </c>
      <c r="Y226" s="305">
        <v>19360</v>
      </c>
      <c r="Z226" s="268">
        <v>0.1494011606371157</v>
      </c>
      <c r="AA226" s="269">
        <v>110224</v>
      </c>
      <c r="AB226" s="268">
        <v>0.85059883936288427</v>
      </c>
      <c r="AC226" s="269">
        <v>129584</v>
      </c>
      <c r="AD226" s="270">
        <v>1</v>
      </c>
      <c r="AE226" s="258"/>
    </row>
    <row r="227" spans="2:31" ht="22.8" x14ac:dyDescent="0.3">
      <c r="M227" s="229"/>
      <c r="N227" s="229" t="s">
        <v>29</v>
      </c>
      <c r="O227" s="246">
        <v>230</v>
      </c>
      <c r="P227" s="232">
        <v>0.56930693069306926</v>
      </c>
      <c r="Q227" s="231">
        <v>174</v>
      </c>
      <c r="R227" s="232">
        <v>0.43069306930693069</v>
      </c>
      <c r="S227" s="246">
        <v>404</v>
      </c>
      <c r="T227" s="232">
        <v>1</v>
      </c>
      <c r="U227" s="223"/>
      <c r="W227" s="271"/>
      <c r="X227" s="271" t="s">
        <v>123</v>
      </c>
      <c r="Y227" s="306">
        <v>20585</v>
      </c>
      <c r="Z227" s="272">
        <v>0.15505423320277192</v>
      </c>
      <c r="AA227" s="273">
        <v>112175</v>
      </c>
      <c r="AB227" s="272">
        <v>0.8449457667972281</v>
      </c>
      <c r="AC227" s="273">
        <v>132760</v>
      </c>
      <c r="AD227" s="274">
        <v>1</v>
      </c>
      <c r="AE227" s="258"/>
    </row>
    <row r="228" spans="2:31" ht="27" customHeight="1" x14ac:dyDescent="0.3">
      <c r="B228" s="15" t="s">
        <v>235</v>
      </c>
      <c r="M228" s="229"/>
      <c r="N228" s="229" t="s">
        <v>25</v>
      </c>
      <c r="O228" s="246">
        <v>10115</v>
      </c>
      <c r="P228" s="232">
        <v>0.15844794636423448</v>
      </c>
      <c r="Q228" s="231">
        <v>53723</v>
      </c>
      <c r="R228" s="232">
        <v>0.84155205363576557</v>
      </c>
      <c r="S228" s="231">
        <v>63838</v>
      </c>
      <c r="T228" s="247">
        <v>1</v>
      </c>
      <c r="U228" s="223"/>
    </row>
    <row r="229" spans="2:31" x14ac:dyDescent="0.3">
      <c r="M229" s="234"/>
      <c r="N229" s="234" t="s">
        <v>123</v>
      </c>
      <c r="O229" s="248">
        <v>10714</v>
      </c>
      <c r="P229" s="237">
        <v>0.163585006489045</v>
      </c>
      <c r="Q229" s="236">
        <v>54781</v>
      </c>
      <c r="R229" s="237">
        <v>0.83641499351095505</v>
      </c>
      <c r="S229" s="236">
        <v>65495</v>
      </c>
      <c r="T229" s="249">
        <v>1</v>
      </c>
      <c r="U229" s="223"/>
    </row>
    <row r="248" spans="2:27" s="16" customFormat="1" ht="30" customHeight="1" x14ac:dyDescent="0.3">
      <c r="B248" s="1" t="s">
        <v>236</v>
      </c>
    </row>
    <row r="249" spans="2:27" ht="25.5" customHeight="1" x14ac:dyDescent="0.3">
      <c r="B249" s="143" t="s">
        <v>34</v>
      </c>
      <c r="C249" s="364" t="s">
        <v>27</v>
      </c>
      <c r="D249" s="364"/>
      <c r="E249" s="364" t="s">
        <v>25</v>
      </c>
      <c r="F249" s="364"/>
      <c r="G249" s="364" t="s">
        <v>18</v>
      </c>
      <c r="H249" s="364"/>
      <c r="T249" s="114" t="s">
        <v>121</v>
      </c>
      <c r="U249" s="114"/>
    </row>
    <row r="250" spans="2:27" ht="18" customHeight="1" x14ac:dyDescent="0.3">
      <c r="B250" s="144"/>
      <c r="C250" s="116" t="s">
        <v>33</v>
      </c>
      <c r="D250" s="116" t="s">
        <v>36</v>
      </c>
      <c r="E250" s="116" t="s">
        <v>33</v>
      </c>
      <c r="F250" s="116" t="s">
        <v>36</v>
      </c>
      <c r="G250" s="116" t="s">
        <v>33</v>
      </c>
      <c r="H250" s="116" t="s">
        <v>36</v>
      </c>
      <c r="S250" s="342" t="s">
        <v>121</v>
      </c>
      <c r="T250" s="342"/>
      <c r="U250" s="358" t="s">
        <v>118</v>
      </c>
      <c r="V250" s="343"/>
      <c r="W250" s="343"/>
      <c r="X250" s="343"/>
      <c r="Y250" s="343"/>
      <c r="Z250" s="346"/>
      <c r="AA250" s="258"/>
    </row>
    <row r="251" spans="2:27" ht="18" customHeight="1" x14ac:dyDescent="0.3">
      <c r="B251" s="153" t="s">
        <v>135</v>
      </c>
      <c r="C251" s="307">
        <v>3404</v>
      </c>
      <c r="D251" s="308">
        <v>9.2749516361952E-2</v>
      </c>
      <c r="E251" s="307">
        <v>33297</v>
      </c>
      <c r="F251" s="308">
        <v>0.90725048363804806</v>
      </c>
      <c r="G251" s="307">
        <v>36701</v>
      </c>
      <c r="H251" s="311">
        <v>1</v>
      </c>
      <c r="S251" s="342"/>
      <c r="T251" s="342"/>
      <c r="U251" s="358" t="s">
        <v>213</v>
      </c>
      <c r="V251" s="343"/>
      <c r="W251" s="343" t="s">
        <v>214</v>
      </c>
      <c r="X251" s="343"/>
      <c r="Y251" s="343" t="s">
        <v>123</v>
      </c>
      <c r="Z251" s="346"/>
      <c r="AA251" s="258"/>
    </row>
    <row r="252" spans="2:27" ht="18" customHeight="1" x14ac:dyDescent="0.3">
      <c r="B252" s="153" t="s">
        <v>131</v>
      </c>
      <c r="C252" s="307">
        <v>5088</v>
      </c>
      <c r="D252" s="308">
        <v>0.16009061733056448</v>
      </c>
      <c r="E252" s="307">
        <v>26694</v>
      </c>
      <c r="F252" s="308">
        <v>0.83990938266943549</v>
      </c>
      <c r="G252" s="307">
        <v>31782</v>
      </c>
      <c r="H252" s="311">
        <v>1</v>
      </c>
      <c r="S252" s="344"/>
      <c r="T252" s="344"/>
      <c r="U252" s="359" t="s">
        <v>122</v>
      </c>
      <c r="V252" s="345" t="s">
        <v>124</v>
      </c>
      <c r="W252" s="345" t="s">
        <v>122</v>
      </c>
      <c r="X252" s="345" t="s">
        <v>124</v>
      </c>
      <c r="Y252" s="345" t="s">
        <v>122</v>
      </c>
      <c r="Z252" s="347" t="s">
        <v>124</v>
      </c>
      <c r="AA252" s="258"/>
    </row>
    <row r="253" spans="2:27" ht="18" customHeight="1" x14ac:dyDescent="0.3">
      <c r="B253" s="153" t="s">
        <v>133</v>
      </c>
      <c r="C253" s="307">
        <v>4385</v>
      </c>
      <c r="D253" s="308">
        <v>0.15416798509299301</v>
      </c>
      <c r="E253" s="307">
        <v>24058</v>
      </c>
      <c r="F253" s="308">
        <v>0.84583201490700699</v>
      </c>
      <c r="G253" s="307">
        <v>28443</v>
      </c>
      <c r="H253" s="311">
        <v>1</v>
      </c>
      <c r="S253" s="263" t="s">
        <v>222</v>
      </c>
      <c r="T253" s="263" t="s">
        <v>46</v>
      </c>
      <c r="U253" s="304">
        <v>0</v>
      </c>
      <c r="V253" s="264">
        <v>0</v>
      </c>
      <c r="W253" s="265">
        <v>0</v>
      </c>
      <c r="X253" s="264">
        <v>0</v>
      </c>
      <c r="Y253" s="265">
        <v>0</v>
      </c>
      <c r="Z253" s="266">
        <v>0</v>
      </c>
      <c r="AA253" s="258"/>
    </row>
    <row r="254" spans="2:27" ht="18" customHeight="1" x14ac:dyDescent="0.3">
      <c r="B254" s="153" t="s">
        <v>134</v>
      </c>
      <c r="C254" s="307">
        <v>3449</v>
      </c>
      <c r="D254" s="308">
        <v>0.21308538242925987</v>
      </c>
      <c r="E254" s="307">
        <v>12737</v>
      </c>
      <c r="F254" s="308">
        <v>0.7869146175707401</v>
      </c>
      <c r="G254" s="307">
        <v>16186</v>
      </c>
      <c r="H254" s="311">
        <v>1</v>
      </c>
      <c r="S254" s="267"/>
      <c r="T254" s="267" t="s">
        <v>128</v>
      </c>
      <c r="U254" s="305">
        <v>813</v>
      </c>
      <c r="V254" s="268">
        <v>0.37482710926694329</v>
      </c>
      <c r="W254" s="269">
        <v>1356</v>
      </c>
      <c r="X254" s="268">
        <v>0.62517289073305671</v>
      </c>
      <c r="Y254" s="269">
        <v>2169</v>
      </c>
      <c r="Z254" s="270">
        <v>1</v>
      </c>
      <c r="AA254" s="258"/>
    </row>
    <row r="255" spans="2:27" ht="18" customHeight="1" x14ac:dyDescent="0.3">
      <c r="B255" s="153" t="s">
        <v>129</v>
      </c>
      <c r="C255" s="307">
        <v>1803</v>
      </c>
      <c r="D255" s="308">
        <v>0.21244255920820077</v>
      </c>
      <c r="E255" s="307">
        <v>6684</v>
      </c>
      <c r="F255" s="308">
        <v>0.78755744079179923</v>
      </c>
      <c r="G255" s="307">
        <v>8487</v>
      </c>
      <c r="H255" s="311">
        <v>1</v>
      </c>
      <c r="S255" s="267"/>
      <c r="T255" s="267" t="s">
        <v>66</v>
      </c>
      <c r="U255" s="305">
        <v>587</v>
      </c>
      <c r="V255" s="268">
        <v>0.27163350300786671</v>
      </c>
      <c r="W255" s="269">
        <v>1574</v>
      </c>
      <c r="X255" s="268">
        <v>0.72836649699213329</v>
      </c>
      <c r="Y255" s="269">
        <v>2161</v>
      </c>
      <c r="Z255" s="270">
        <v>1</v>
      </c>
      <c r="AA255" s="258"/>
    </row>
    <row r="256" spans="2:27" ht="18" customHeight="1" x14ac:dyDescent="0.3">
      <c r="B256" s="153" t="s">
        <v>130</v>
      </c>
      <c r="C256" s="307">
        <v>877</v>
      </c>
      <c r="D256" s="308">
        <v>0.15201941410989772</v>
      </c>
      <c r="E256" s="307">
        <v>4892</v>
      </c>
      <c r="F256" s="308">
        <v>0.84798058589010228</v>
      </c>
      <c r="G256" s="307">
        <v>5769</v>
      </c>
      <c r="H256" s="311">
        <v>1</v>
      </c>
      <c r="S256" s="267"/>
      <c r="T256" s="267" t="s">
        <v>129</v>
      </c>
      <c r="U256" s="305">
        <v>1803</v>
      </c>
      <c r="V256" s="268">
        <v>0.21244255920820077</v>
      </c>
      <c r="W256" s="269">
        <v>6684</v>
      </c>
      <c r="X256" s="268">
        <v>0.78755744079179923</v>
      </c>
      <c r="Y256" s="269">
        <v>8487</v>
      </c>
      <c r="Z256" s="270">
        <v>1</v>
      </c>
      <c r="AA256" s="258"/>
    </row>
    <row r="257" spans="2:27" ht="18" customHeight="1" x14ac:dyDescent="0.3">
      <c r="B257" s="153" t="s">
        <v>128</v>
      </c>
      <c r="C257" s="307">
        <v>813</v>
      </c>
      <c r="D257" s="308">
        <v>0.37482710926694329</v>
      </c>
      <c r="E257" s="307">
        <v>1356</v>
      </c>
      <c r="F257" s="308">
        <v>0.62517289073305671</v>
      </c>
      <c r="G257" s="307">
        <v>2169</v>
      </c>
      <c r="H257" s="311">
        <v>1</v>
      </c>
      <c r="S257" s="267"/>
      <c r="T257" s="267" t="s">
        <v>130</v>
      </c>
      <c r="U257" s="305">
        <v>877</v>
      </c>
      <c r="V257" s="268">
        <v>0.15201941410989772</v>
      </c>
      <c r="W257" s="269">
        <v>4892</v>
      </c>
      <c r="X257" s="268">
        <v>0.84798058589010228</v>
      </c>
      <c r="Y257" s="269">
        <v>5769</v>
      </c>
      <c r="Z257" s="270">
        <v>1</v>
      </c>
      <c r="AA257" s="258"/>
    </row>
    <row r="258" spans="2:27" ht="18" customHeight="1" x14ac:dyDescent="0.3">
      <c r="B258" s="153" t="s">
        <v>66</v>
      </c>
      <c r="C258" s="307">
        <v>587</v>
      </c>
      <c r="D258" s="308">
        <v>0.27163350300786671</v>
      </c>
      <c r="E258" s="307">
        <v>1574</v>
      </c>
      <c r="F258" s="308">
        <v>0.72836649699213329</v>
      </c>
      <c r="G258" s="307">
        <v>2161</v>
      </c>
      <c r="H258" s="311">
        <v>1</v>
      </c>
      <c r="S258" s="267"/>
      <c r="T258" s="267" t="s">
        <v>131</v>
      </c>
      <c r="U258" s="305">
        <v>5088</v>
      </c>
      <c r="V258" s="268">
        <v>0.16009061733056448</v>
      </c>
      <c r="W258" s="269">
        <v>26694</v>
      </c>
      <c r="X258" s="268">
        <v>0.83990938266943549</v>
      </c>
      <c r="Y258" s="269">
        <v>31782</v>
      </c>
      <c r="Z258" s="270">
        <v>1</v>
      </c>
      <c r="AA258" s="258"/>
    </row>
    <row r="259" spans="2:27" ht="18" customHeight="1" x14ac:dyDescent="0.3">
      <c r="B259" s="153" t="s">
        <v>132</v>
      </c>
      <c r="C259" s="307">
        <v>179</v>
      </c>
      <c r="D259" s="308">
        <v>0.16854990583804144</v>
      </c>
      <c r="E259" s="307">
        <v>883</v>
      </c>
      <c r="F259" s="308">
        <v>0.83145009416195859</v>
      </c>
      <c r="G259" s="307">
        <v>1062</v>
      </c>
      <c r="H259" s="311">
        <v>1</v>
      </c>
      <c r="S259" s="267"/>
      <c r="T259" s="267" t="s">
        <v>132</v>
      </c>
      <c r="U259" s="305">
        <v>179</v>
      </c>
      <c r="V259" s="268">
        <v>0.16854990583804144</v>
      </c>
      <c r="W259" s="269">
        <v>883</v>
      </c>
      <c r="X259" s="268">
        <v>0.83145009416195859</v>
      </c>
      <c r="Y259" s="269">
        <v>1062</v>
      </c>
      <c r="Z259" s="270">
        <v>1</v>
      </c>
      <c r="AA259" s="258"/>
    </row>
    <row r="260" spans="2:27" ht="18" customHeight="1" x14ac:dyDescent="0.3">
      <c r="B260" s="153" t="s">
        <v>46</v>
      </c>
      <c r="C260" s="307"/>
      <c r="D260" s="308"/>
      <c r="E260" s="307"/>
      <c r="F260" s="308"/>
      <c r="G260" s="307"/>
      <c r="H260" s="311"/>
      <c r="S260" s="267"/>
      <c r="T260" s="267" t="s">
        <v>133</v>
      </c>
      <c r="U260" s="305">
        <v>4385</v>
      </c>
      <c r="V260" s="268">
        <v>0.15416798509299301</v>
      </c>
      <c r="W260" s="269">
        <v>24058</v>
      </c>
      <c r="X260" s="268">
        <v>0.84583201490700699</v>
      </c>
      <c r="Y260" s="269">
        <v>28443</v>
      </c>
      <c r="Z260" s="270">
        <v>1</v>
      </c>
      <c r="AA260" s="258"/>
    </row>
    <row r="261" spans="2:27" ht="18" customHeight="1" x14ac:dyDescent="0.3">
      <c r="B261" s="312" t="s">
        <v>18</v>
      </c>
      <c r="C261" s="309">
        <v>20585</v>
      </c>
      <c r="D261" s="310">
        <v>0.15505423320277192</v>
      </c>
      <c r="E261" s="309">
        <v>112175</v>
      </c>
      <c r="F261" s="310">
        <v>0.8449457667972281</v>
      </c>
      <c r="G261" s="309">
        <v>132760</v>
      </c>
      <c r="H261" s="311">
        <v>1</v>
      </c>
      <c r="S261" s="267"/>
      <c r="T261" s="267" t="s">
        <v>134</v>
      </c>
      <c r="U261" s="305">
        <v>3449</v>
      </c>
      <c r="V261" s="268">
        <v>0.21308538242925987</v>
      </c>
      <c r="W261" s="269">
        <v>12737</v>
      </c>
      <c r="X261" s="268">
        <v>0.7869146175707401</v>
      </c>
      <c r="Y261" s="269">
        <v>16186</v>
      </c>
      <c r="Z261" s="270">
        <v>1</v>
      </c>
      <c r="AA261" s="258"/>
    </row>
    <row r="262" spans="2:27" ht="45.6" x14ac:dyDescent="0.3">
      <c r="S262" s="267"/>
      <c r="T262" s="267" t="s">
        <v>135</v>
      </c>
      <c r="U262" s="305">
        <v>3404</v>
      </c>
      <c r="V262" s="268">
        <v>9.2749516361952E-2</v>
      </c>
      <c r="W262" s="269">
        <v>33297</v>
      </c>
      <c r="X262" s="268">
        <v>0.90725048363804806</v>
      </c>
      <c r="Y262" s="269">
        <v>36701</v>
      </c>
      <c r="Z262" s="270">
        <v>1</v>
      </c>
      <c r="AA262" s="258"/>
    </row>
    <row r="263" spans="2:27" x14ac:dyDescent="0.3">
      <c r="S263" s="271"/>
      <c r="T263" s="271" t="s">
        <v>123</v>
      </c>
      <c r="U263" s="306">
        <v>20585</v>
      </c>
      <c r="V263" s="272">
        <v>0.15505423320277192</v>
      </c>
      <c r="W263" s="273">
        <v>112175</v>
      </c>
      <c r="X263" s="272">
        <v>0.8449457667972281</v>
      </c>
      <c r="Y263" s="273">
        <v>132760</v>
      </c>
      <c r="Z263" s="274">
        <v>1</v>
      </c>
      <c r="AA263" s="258"/>
    </row>
    <row r="264" spans="2:27" x14ac:dyDescent="0.3">
      <c r="S264" s="234"/>
      <c r="T264" s="234"/>
      <c r="U264" s="234" t="s">
        <v>123</v>
      </c>
      <c r="V264" s="248">
        <v>10714</v>
      </c>
      <c r="W264" s="237">
        <v>0.163585006489045</v>
      </c>
      <c r="X264" s="236">
        <v>54781</v>
      </c>
      <c r="Y264" s="223"/>
    </row>
  </sheetData>
  <sortState ref="B251:H260">
    <sortCondition descending="1" ref="G251:G260"/>
  </sortState>
  <mergeCells count="34">
    <mergeCell ref="W219:AD221"/>
    <mergeCell ref="S250:Z252"/>
    <mergeCell ref="M218:T220"/>
    <mergeCell ref="C249:D249"/>
    <mergeCell ref="E249:F249"/>
    <mergeCell ref="G249:H249"/>
    <mergeCell ref="M221:T223"/>
    <mergeCell ref="B187:B188"/>
    <mergeCell ref="C187:D187"/>
    <mergeCell ref="E187:F187"/>
    <mergeCell ref="G187:H187"/>
    <mergeCell ref="B218:B219"/>
    <mergeCell ref="C218:D218"/>
    <mergeCell ref="E218:F218"/>
    <mergeCell ref="G218:H218"/>
    <mergeCell ref="A2:A3"/>
    <mergeCell ref="B2:B3"/>
    <mergeCell ref="C2:E2"/>
    <mergeCell ref="F2:G2"/>
    <mergeCell ref="A52:A53"/>
    <mergeCell ref="B52:B53"/>
    <mergeCell ref="C52:D52"/>
    <mergeCell ref="E52:F52"/>
    <mergeCell ref="W3:AB5"/>
    <mergeCell ref="W56:AC58"/>
    <mergeCell ref="AE61:AI63"/>
    <mergeCell ref="B95:B96"/>
    <mergeCell ref="C95:D95"/>
    <mergeCell ref="E95:F95"/>
    <mergeCell ref="S66:U68"/>
    <mergeCell ref="B67:B68"/>
    <mergeCell ref="C67:E67"/>
    <mergeCell ref="F67:G67"/>
    <mergeCell ref="AD96:AI98"/>
  </mergeCells>
  <printOptions horizontalCentered="1"/>
  <pageMargins left="0.7" right="0.7" top="0.75" bottom="0.75" header="0.3" footer="0.3"/>
  <pageSetup paperSize="9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4883"/>
  <sheetViews>
    <sheetView topLeftCell="A70" workbookViewId="0">
      <selection activeCell="A66" sqref="A66"/>
    </sheetView>
  </sheetViews>
  <sheetFormatPr defaultRowHeight="14.4" x14ac:dyDescent="0.3"/>
  <cols>
    <col min="1" max="1" width="57.44140625" customWidth="1"/>
    <col min="2" max="11" width="5.6640625" customWidth="1"/>
    <col min="12" max="12" width="8.33203125" customWidth="1"/>
    <col min="13" max="13" width="7.21875" customWidth="1"/>
  </cols>
  <sheetData>
    <row r="1" spans="1:44" ht="34.5" customHeight="1" x14ac:dyDescent="0.3">
      <c r="A1" s="383" t="s">
        <v>237</v>
      </c>
      <c r="B1" s="383"/>
      <c r="C1" s="383"/>
      <c r="D1" s="383"/>
      <c r="E1" s="383"/>
      <c r="F1" s="383"/>
      <c r="G1" s="383"/>
      <c r="H1" s="383"/>
      <c r="I1" s="383"/>
      <c r="J1" s="383"/>
      <c r="K1" s="383"/>
      <c r="L1" s="383"/>
      <c r="M1" s="383"/>
      <c r="N1" s="206"/>
    </row>
    <row r="2" spans="1:44" ht="26.25" customHeight="1" x14ac:dyDescent="0.3">
      <c r="A2" s="319" t="s">
        <v>52</v>
      </c>
      <c r="B2" s="384" t="s">
        <v>187</v>
      </c>
      <c r="C2" s="384"/>
      <c r="D2" s="384"/>
      <c r="E2" s="384"/>
      <c r="F2" s="384"/>
      <c r="G2" s="384"/>
      <c r="H2" s="384"/>
      <c r="I2" s="384"/>
      <c r="J2" s="384"/>
      <c r="K2" s="384"/>
      <c r="L2" s="385" t="s">
        <v>18</v>
      </c>
      <c r="M2" s="385"/>
      <c r="N2" s="206"/>
      <c r="AD2" s="386" t="s">
        <v>121</v>
      </c>
      <c r="AE2" s="386"/>
      <c r="AF2" s="387"/>
      <c r="AG2" s="387"/>
      <c r="AH2" s="387"/>
      <c r="AI2" s="387"/>
      <c r="AJ2" s="387"/>
      <c r="AK2" s="387"/>
      <c r="AL2" s="387"/>
      <c r="AM2" s="387"/>
      <c r="AN2" s="387"/>
      <c r="AO2" s="387"/>
      <c r="AP2" s="387"/>
      <c r="AQ2" s="388"/>
      <c r="AR2" s="206"/>
    </row>
    <row r="3" spans="1:44" ht="130.5" customHeight="1" x14ac:dyDescent="0.3">
      <c r="A3" s="320"/>
      <c r="B3" s="207" t="s">
        <v>46</v>
      </c>
      <c r="C3" s="207" t="s">
        <v>128</v>
      </c>
      <c r="D3" s="207" t="s">
        <v>66</v>
      </c>
      <c r="E3" s="207" t="s">
        <v>129</v>
      </c>
      <c r="F3" s="207" t="s">
        <v>130</v>
      </c>
      <c r="G3" s="207" t="s">
        <v>131</v>
      </c>
      <c r="H3" s="207" t="s">
        <v>132</v>
      </c>
      <c r="I3" s="207" t="s">
        <v>133</v>
      </c>
      <c r="J3" s="207" t="s">
        <v>134</v>
      </c>
      <c r="K3" s="207" t="s">
        <v>135</v>
      </c>
      <c r="L3" s="208" t="s">
        <v>36</v>
      </c>
      <c r="M3" s="208" t="s">
        <v>33</v>
      </c>
      <c r="AD3" s="386"/>
      <c r="AE3" s="386"/>
      <c r="AF3" s="387"/>
      <c r="AG3" s="387"/>
      <c r="AH3" s="387"/>
      <c r="AI3" s="387"/>
      <c r="AJ3" s="387"/>
      <c r="AK3" s="387"/>
      <c r="AL3" s="387"/>
      <c r="AM3" s="387"/>
      <c r="AN3" s="387"/>
      <c r="AO3" s="387"/>
      <c r="AP3" s="387" t="s">
        <v>123</v>
      </c>
      <c r="AQ3" s="388"/>
      <c r="AR3" s="206"/>
    </row>
    <row r="4" spans="1:44" ht="18" customHeight="1" x14ac:dyDescent="0.3">
      <c r="A4" s="321" t="s">
        <v>143</v>
      </c>
      <c r="B4" s="216">
        <v>0</v>
      </c>
      <c r="C4" s="216">
        <v>1.8228925696307949E-2</v>
      </c>
      <c r="D4" s="216">
        <v>1.6964313253755282E-3</v>
      </c>
      <c r="E4" s="216">
        <v>1.2615280219610746E-2</v>
      </c>
      <c r="F4" s="216">
        <v>2.3194842848770859E-2</v>
      </c>
      <c r="G4" s="216">
        <v>0.47358193763301565</v>
      </c>
      <c r="H4" s="216">
        <v>2.1899386200302275E-3</v>
      </c>
      <c r="I4" s="216">
        <v>0.21541593411677618</v>
      </c>
      <c r="J4" s="216">
        <v>1.8074704666728354E-2</v>
      </c>
      <c r="K4" s="216">
        <v>0.23500200487338455</v>
      </c>
      <c r="L4" s="216">
        <v>1</v>
      </c>
      <c r="M4" s="217">
        <v>32421</v>
      </c>
      <c r="AD4" s="389"/>
      <c r="AE4" s="389"/>
      <c r="AF4" s="390" t="s">
        <v>124</v>
      </c>
      <c r="AG4" s="390" t="s">
        <v>124</v>
      </c>
      <c r="AH4" s="390" t="s">
        <v>124</v>
      </c>
      <c r="AI4" s="390" t="s">
        <v>124</v>
      </c>
      <c r="AJ4" s="390" t="s">
        <v>124</v>
      </c>
      <c r="AK4" s="390" t="s">
        <v>124</v>
      </c>
      <c r="AL4" s="390" t="s">
        <v>124</v>
      </c>
      <c r="AM4" s="390" t="s">
        <v>124</v>
      </c>
      <c r="AN4" s="390" t="s">
        <v>124</v>
      </c>
      <c r="AO4" s="390" t="s">
        <v>124</v>
      </c>
      <c r="AP4" s="390" t="s">
        <v>122</v>
      </c>
      <c r="AQ4" s="391" t="s">
        <v>124</v>
      </c>
      <c r="AR4" s="206"/>
    </row>
    <row r="5" spans="1:44" ht="18" customHeight="1" x14ac:dyDescent="0.3">
      <c r="A5" s="321" t="s">
        <v>152</v>
      </c>
      <c r="B5" s="216">
        <v>0</v>
      </c>
      <c r="C5" s="216">
        <v>2.5121555915721232E-2</v>
      </c>
      <c r="D5" s="216">
        <v>2.8092922744462453E-2</v>
      </c>
      <c r="E5" s="216">
        <v>0.13025391680172879</v>
      </c>
      <c r="F5" s="216">
        <v>0.11075094543490005</v>
      </c>
      <c r="G5" s="216">
        <v>0.11982712047541869</v>
      </c>
      <c r="H5" s="216">
        <v>1.4046461372231229E-3</v>
      </c>
      <c r="I5" s="216">
        <v>9.9621826039978392E-2</v>
      </c>
      <c r="J5" s="216">
        <v>0.26531604538087522</v>
      </c>
      <c r="K5" s="216">
        <v>0.21961102106969205</v>
      </c>
      <c r="L5" s="216">
        <v>1</v>
      </c>
      <c r="M5" s="217">
        <v>18510</v>
      </c>
      <c r="AD5" s="209" t="s">
        <v>230</v>
      </c>
      <c r="AE5" s="209" t="s">
        <v>137</v>
      </c>
      <c r="AF5" s="210">
        <v>0</v>
      </c>
      <c r="AG5" s="210">
        <v>1.6864343958487769E-2</v>
      </c>
      <c r="AH5" s="210">
        <v>3.8917716827279471E-3</v>
      </c>
      <c r="AI5" s="210">
        <v>3.0022238695329873E-2</v>
      </c>
      <c r="AJ5" s="210">
        <v>6.1156412157153447E-3</v>
      </c>
      <c r="AK5" s="210">
        <v>1.704966641957005E-2</v>
      </c>
      <c r="AL5" s="210">
        <v>0.17012601927353596</v>
      </c>
      <c r="AM5" s="210">
        <v>1.3343217197924388E-2</v>
      </c>
      <c r="AN5" s="210">
        <v>3.4469977761304671E-2</v>
      </c>
      <c r="AO5" s="210">
        <v>0.70811712379540415</v>
      </c>
      <c r="AP5" s="314">
        <v>1</v>
      </c>
      <c r="AQ5" s="313">
        <v>5396</v>
      </c>
    </row>
    <row r="6" spans="1:44" ht="18" customHeight="1" x14ac:dyDescent="0.3">
      <c r="A6" s="321" t="s">
        <v>54</v>
      </c>
      <c r="B6" s="216">
        <v>0</v>
      </c>
      <c r="C6" s="216">
        <v>1.0732701762801295E-2</v>
      </c>
      <c r="D6" s="216">
        <v>1.3550785465883199E-2</v>
      </c>
      <c r="E6" s="216">
        <v>0.11170404125194867</v>
      </c>
      <c r="F6" s="216">
        <v>3.6635088140064755E-2</v>
      </c>
      <c r="G6" s="216">
        <v>3.9812927209497542E-2</v>
      </c>
      <c r="H6" s="216">
        <v>8.9938841587720354E-4</v>
      </c>
      <c r="I6" s="216">
        <v>0.36497181916296917</v>
      </c>
      <c r="J6" s="216">
        <v>0.22136946876124233</v>
      </c>
      <c r="K6" s="216">
        <v>0.20032377982971583</v>
      </c>
      <c r="L6" s="216">
        <v>1</v>
      </c>
      <c r="M6" s="217">
        <v>16678</v>
      </c>
      <c r="AD6" s="211"/>
      <c r="AE6" s="211" t="s">
        <v>138</v>
      </c>
      <c r="AF6" s="212">
        <v>0</v>
      </c>
      <c r="AG6" s="212">
        <v>0.10071942446043165</v>
      </c>
      <c r="AH6" s="212">
        <v>0.10791366906474821</v>
      </c>
      <c r="AI6" s="212">
        <v>0.15107913669064749</v>
      </c>
      <c r="AJ6" s="212">
        <v>5.7553956834532377E-2</v>
      </c>
      <c r="AK6" s="212">
        <v>7.1942446043165471E-3</v>
      </c>
      <c r="AL6" s="212">
        <v>0</v>
      </c>
      <c r="AM6" s="212">
        <v>8.6330935251798552E-2</v>
      </c>
      <c r="AN6" s="212">
        <v>0.32374100719424459</v>
      </c>
      <c r="AO6" s="212">
        <v>0.16546762589928057</v>
      </c>
      <c r="AP6" s="316">
        <v>1</v>
      </c>
      <c r="AQ6" s="315">
        <v>139</v>
      </c>
    </row>
    <row r="7" spans="1:44" ht="18" customHeight="1" x14ac:dyDescent="0.3">
      <c r="A7" s="321" t="s">
        <v>141</v>
      </c>
      <c r="B7" s="216">
        <v>0</v>
      </c>
      <c r="C7" s="216">
        <v>2.0476790968594248E-2</v>
      </c>
      <c r="D7" s="216">
        <v>1.3871374527112233E-2</v>
      </c>
      <c r="E7" s="216">
        <v>0.10844892812105927</v>
      </c>
      <c r="F7" s="216">
        <v>7.8484357172881769E-2</v>
      </c>
      <c r="G7" s="216">
        <v>0.28397285774334957</v>
      </c>
      <c r="H7" s="216">
        <v>2.4019696150843692E-4</v>
      </c>
      <c r="I7" s="216">
        <v>0.21557677295382213</v>
      </c>
      <c r="J7" s="216">
        <v>0.17222122140154927</v>
      </c>
      <c r="K7" s="216">
        <v>0.10670750015012312</v>
      </c>
      <c r="L7" s="216">
        <v>1</v>
      </c>
      <c r="M7" s="217">
        <v>16653</v>
      </c>
      <c r="AD7" s="211"/>
      <c r="AE7" s="211" t="s">
        <v>54</v>
      </c>
      <c r="AF7" s="212">
        <v>0</v>
      </c>
      <c r="AG7" s="212">
        <v>1.0732701762801295E-2</v>
      </c>
      <c r="AH7" s="212">
        <v>1.3550785465883199E-2</v>
      </c>
      <c r="AI7" s="212">
        <v>0.11170404125194867</v>
      </c>
      <c r="AJ7" s="212">
        <v>3.6635088140064755E-2</v>
      </c>
      <c r="AK7" s="212">
        <v>3.9812927209497542E-2</v>
      </c>
      <c r="AL7" s="212">
        <v>8.9938841587720354E-4</v>
      </c>
      <c r="AM7" s="212">
        <v>0.36497181916296917</v>
      </c>
      <c r="AN7" s="212">
        <v>0.22136946876124233</v>
      </c>
      <c r="AO7" s="212">
        <v>0.20032377982971583</v>
      </c>
      <c r="AP7" s="316">
        <v>1</v>
      </c>
      <c r="AQ7" s="315">
        <v>16678</v>
      </c>
    </row>
    <row r="8" spans="1:44" ht="18" customHeight="1" x14ac:dyDescent="0.3">
      <c r="A8" s="321" t="s">
        <v>73</v>
      </c>
      <c r="B8" s="216">
        <v>0</v>
      </c>
      <c r="C8" s="216">
        <v>1.5807560137457044E-3</v>
      </c>
      <c r="D8" s="216">
        <v>1.0584192439862543E-2</v>
      </c>
      <c r="E8" s="216">
        <v>3.0309278350515462E-2</v>
      </c>
      <c r="F8" s="216">
        <v>6.6666666666666671E-3</v>
      </c>
      <c r="G8" s="216">
        <v>4.1924398625429555E-3</v>
      </c>
      <c r="H8" s="216">
        <v>2.0618556701030926E-4</v>
      </c>
      <c r="I8" s="216">
        <v>0.61896907216494845</v>
      </c>
      <c r="J8" s="216">
        <v>5.6151202749140892E-2</v>
      </c>
      <c r="K8" s="216">
        <v>0.27134020618556703</v>
      </c>
      <c r="L8" s="216">
        <v>1</v>
      </c>
      <c r="M8" s="217">
        <v>14550</v>
      </c>
      <c r="AD8" s="211"/>
      <c r="AE8" s="211" t="s">
        <v>139</v>
      </c>
      <c r="AF8" s="212">
        <v>0</v>
      </c>
      <c r="AG8" s="212">
        <v>2.097902097902098E-2</v>
      </c>
      <c r="AH8" s="212">
        <v>9.0909090909090912E-2</v>
      </c>
      <c r="AI8" s="212">
        <v>0.23776223776223776</v>
      </c>
      <c r="AJ8" s="212">
        <v>2.7972027972027972E-2</v>
      </c>
      <c r="AK8" s="212">
        <v>2.097902097902098E-2</v>
      </c>
      <c r="AL8" s="212">
        <v>0</v>
      </c>
      <c r="AM8" s="212">
        <v>0.20979020979020979</v>
      </c>
      <c r="AN8" s="212">
        <v>0.1048951048951049</v>
      </c>
      <c r="AO8" s="212">
        <v>0.28671328671328672</v>
      </c>
      <c r="AP8" s="316">
        <v>1</v>
      </c>
      <c r="AQ8" s="315">
        <v>143</v>
      </c>
    </row>
    <row r="9" spans="1:44" ht="18" customHeight="1" x14ac:dyDescent="0.3">
      <c r="A9" s="321" t="s">
        <v>153</v>
      </c>
      <c r="B9" s="216">
        <v>0</v>
      </c>
      <c r="C9" s="216">
        <v>1.9408054342552158E-4</v>
      </c>
      <c r="D9" s="216">
        <v>1.3585638039786514E-3</v>
      </c>
      <c r="E9" s="216">
        <v>5.8224163027656482E-4</v>
      </c>
      <c r="F9" s="216">
        <v>2.9112081513828241E-4</v>
      </c>
      <c r="G9" s="216">
        <v>8.7239204269771969E-2</v>
      </c>
      <c r="H9" s="216">
        <v>6.7928190198932568E-4</v>
      </c>
      <c r="I9" s="216">
        <v>1.7467248908296941E-3</v>
      </c>
      <c r="J9" s="216">
        <v>7.1130519165453668E-2</v>
      </c>
      <c r="K9" s="216">
        <v>0.83677826297913638</v>
      </c>
      <c r="L9" s="216">
        <v>1</v>
      </c>
      <c r="M9" s="217">
        <v>10305</v>
      </c>
      <c r="AD9" s="211"/>
      <c r="AE9" s="211" t="s">
        <v>140</v>
      </c>
      <c r="AF9" s="212">
        <v>0</v>
      </c>
      <c r="AG9" s="212">
        <v>1.4184397163120567E-2</v>
      </c>
      <c r="AH9" s="212">
        <v>1.4184397163120567E-2</v>
      </c>
      <c r="AI9" s="212">
        <v>0.20567375886524822</v>
      </c>
      <c r="AJ9" s="212">
        <v>1.4184397163120567E-2</v>
      </c>
      <c r="AK9" s="212">
        <v>0</v>
      </c>
      <c r="AL9" s="212">
        <v>0</v>
      </c>
      <c r="AM9" s="212">
        <v>0.11347517730496454</v>
      </c>
      <c r="AN9" s="212">
        <v>0.16312056737588654</v>
      </c>
      <c r="AO9" s="212">
        <v>0.47517730496453903</v>
      </c>
      <c r="AP9" s="316">
        <v>1</v>
      </c>
      <c r="AQ9" s="315">
        <v>141</v>
      </c>
    </row>
    <row r="10" spans="1:44" ht="18" customHeight="1" x14ac:dyDescent="0.3">
      <c r="A10" s="321" t="s">
        <v>148</v>
      </c>
      <c r="B10" s="216">
        <v>0</v>
      </c>
      <c r="C10" s="216">
        <v>1.2473069509014627E-2</v>
      </c>
      <c r="D10" s="216">
        <v>2.2678308198208412E-3</v>
      </c>
      <c r="E10" s="216">
        <v>2.4832747477038213E-2</v>
      </c>
      <c r="F10" s="216">
        <v>2.0864043542351739E-2</v>
      </c>
      <c r="G10" s="216">
        <v>0.70075972332464009</v>
      </c>
      <c r="H10" s="216">
        <v>1.3606984918925051E-3</v>
      </c>
      <c r="I10" s="216">
        <v>8.7311486563102399E-3</v>
      </c>
      <c r="J10" s="216">
        <v>7.0416146955437131E-2</v>
      </c>
      <c r="K10" s="216">
        <v>0.15829459122349473</v>
      </c>
      <c r="L10" s="216">
        <v>1</v>
      </c>
      <c r="M10" s="217">
        <v>8819</v>
      </c>
      <c r="AD10" s="211"/>
      <c r="AE10" s="211" t="s">
        <v>73</v>
      </c>
      <c r="AF10" s="212">
        <v>0</v>
      </c>
      <c r="AG10" s="212">
        <v>1.5807560137457044E-3</v>
      </c>
      <c r="AH10" s="212">
        <v>1.0584192439862543E-2</v>
      </c>
      <c r="AI10" s="212">
        <v>3.0309278350515462E-2</v>
      </c>
      <c r="AJ10" s="212">
        <v>6.6666666666666671E-3</v>
      </c>
      <c r="AK10" s="212">
        <v>4.1924398625429555E-3</v>
      </c>
      <c r="AL10" s="212">
        <v>2.0618556701030926E-4</v>
      </c>
      <c r="AM10" s="212">
        <v>0.61896907216494845</v>
      </c>
      <c r="AN10" s="212">
        <v>5.6151202749140892E-2</v>
      </c>
      <c r="AO10" s="212">
        <v>0.27134020618556703</v>
      </c>
      <c r="AP10" s="316">
        <v>1</v>
      </c>
      <c r="AQ10" s="315">
        <v>14550</v>
      </c>
    </row>
    <row r="11" spans="1:44" ht="18" customHeight="1" x14ac:dyDescent="0.3">
      <c r="A11" s="321" t="s">
        <v>137</v>
      </c>
      <c r="B11" s="216">
        <v>0</v>
      </c>
      <c r="C11" s="216">
        <v>1.6864343958487769E-2</v>
      </c>
      <c r="D11" s="216">
        <v>3.8917716827279471E-3</v>
      </c>
      <c r="E11" s="216">
        <v>3.0022238695329873E-2</v>
      </c>
      <c r="F11" s="216">
        <v>6.1156412157153447E-3</v>
      </c>
      <c r="G11" s="216">
        <v>1.704966641957005E-2</v>
      </c>
      <c r="H11" s="216">
        <v>0.17012601927353596</v>
      </c>
      <c r="I11" s="216">
        <v>1.3343217197924388E-2</v>
      </c>
      <c r="J11" s="216">
        <v>3.4469977761304671E-2</v>
      </c>
      <c r="K11" s="216">
        <v>0.70811712379540415</v>
      </c>
      <c r="L11" s="216">
        <v>1</v>
      </c>
      <c r="M11" s="217">
        <v>5396</v>
      </c>
      <c r="AD11" s="211"/>
      <c r="AE11" s="211" t="s">
        <v>141</v>
      </c>
      <c r="AF11" s="212">
        <v>0</v>
      </c>
      <c r="AG11" s="212">
        <v>2.0476790968594248E-2</v>
      </c>
      <c r="AH11" s="212">
        <v>1.3871374527112233E-2</v>
      </c>
      <c r="AI11" s="212">
        <v>0.10844892812105927</v>
      </c>
      <c r="AJ11" s="212">
        <v>7.8484357172881769E-2</v>
      </c>
      <c r="AK11" s="212">
        <v>0.28397285774334957</v>
      </c>
      <c r="AL11" s="212">
        <v>2.4019696150843692E-4</v>
      </c>
      <c r="AM11" s="212">
        <v>0.21557677295382213</v>
      </c>
      <c r="AN11" s="212">
        <v>0.17222122140154927</v>
      </c>
      <c r="AO11" s="212">
        <v>0.10670750015012312</v>
      </c>
      <c r="AP11" s="316">
        <v>1</v>
      </c>
      <c r="AQ11" s="315">
        <v>16653</v>
      </c>
    </row>
    <row r="12" spans="1:44" ht="18" customHeight="1" x14ac:dyDescent="0.3">
      <c r="A12" s="321" t="s">
        <v>150</v>
      </c>
      <c r="B12" s="216">
        <v>0</v>
      </c>
      <c r="C12" s="216">
        <v>1.5665796344647518E-2</v>
      </c>
      <c r="D12" s="216">
        <v>9.0078328981723244E-2</v>
      </c>
      <c r="E12" s="216">
        <v>0.1106396866840731</v>
      </c>
      <c r="F12" s="216">
        <v>3.2963446475195821E-2</v>
      </c>
      <c r="G12" s="216">
        <v>0.23661879895561358</v>
      </c>
      <c r="H12" s="216">
        <v>9.7911227154046988E-4</v>
      </c>
      <c r="I12" s="216">
        <v>7.9960835509138378E-2</v>
      </c>
      <c r="J12" s="216">
        <v>3.0678851174934726E-2</v>
      </c>
      <c r="K12" s="216">
        <v>0.40241514360313319</v>
      </c>
      <c r="L12" s="216">
        <v>1</v>
      </c>
      <c r="M12" s="217">
        <v>3064</v>
      </c>
      <c r="AD12" s="211"/>
      <c r="AE12" s="211" t="s">
        <v>142</v>
      </c>
      <c r="AF12" s="212">
        <v>0</v>
      </c>
      <c r="AG12" s="212">
        <v>8.6100861008610082E-3</v>
      </c>
      <c r="AH12" s="212">
        <v>6.7650676506765071E-3</v>
      </c>
      <c r="AI12" s="212">
        <v>5.2275522755227552E-2</v>
      </c>
      <c r="AJ12" s="212">
        <v>9.1635916359163586E-2</v>
      </c>
      <c r="AK12" s="212">
        <v>7.5645756457564578E-2</v>
      </c>
      <c r="AL12" s="212">
        <v>0</v>
      </c>
      <c r="AM12" s="212">
        <v>4.7970479704797044E-2</v>
      </c>
      <c r="AN12" s="212">
        <v>0.59286592865928656</v>
      </c>
      <c r="AO12" s="212">
        <v>0.12423124231242312</v>
      </c>
      <c r="AP12" s="316">
        <v>1</v>
      </c>
      <c r="AQ12" s="315">
        <v>1626</v>
      </c>
    </row>
    <row r="13" spans="1:44" ht="18" customHeight="1" x14ac:dyDescent="0.3">
      <c r="A13" s="321" t="s">
        <v>55</v>
      </c>
      <c r="B13" s="216">
        <v>0</v>
      </c>
      <c r="C13" s="216">
        <v>5.3254437869822494E-2</v>
      </c>
      <c r="D13" s="216">
        <v>0.22840236686390533</v>
      </c>
      <c r="E13" s="216">
        <v>9.4082840236686394E-2</v>
      </c>
      <c r="F13" s="216">
        <v>7.0414201183431946E-2</v>
      </c>
      <c r="G13" s="216">
        <v>9.2899408284023668E-2</v>
      </c>
      <c r="H13" s="216">
        <v>1.1834319526627219E-3</v>
      </c>
      <c r="I13" s="216">
        <v>5.9171597633136092E-2</v>
      </c>
      <c r="J13" s="216">
        <v>0.23195266272189349</v>
      </c>
      <c r="K13" s="216">
        <v>0.16863905325443787</v>
      </c>
      <c r="L13" s="216">
        <v>1</v>
      </c>
      <c r="M13" s="217">
        <v>1690</v>
      </c>
      <c r="AD13" s="211"/>
      <c r="AE13" s="211" t="s">
        <v>143</v>
      </c>
      <c r="AF13" s="212">
        <v>0</v>
      </c>
      <c r="AG13" s="212">
        <v>1.8228925696307949E-2</v>
      </c>
      <c r="AH13" s="212">
        <v>1.6964313253755282E-3</v>
      </c>
      <c r="AI13" s="212">
        <v>1.2615280219610746E-2</v>
      </c>
      <c r="AJ13" s="212">
        <v>2.3194842848770859E-2</v>
      </c>
      <c r="AK13" s="212">
        <v>0.47358193763301565</v>
      </c>
      <c r="AL13" s="212">
        <v>2.1899386200302275E-3</v>
      </c>
      <c r="AM13" s="212">
        <v>0.21541593411677618</v>
      </c>
      <c r="AN13" s="212">
        <v>1.8074704666728354E-2</v>
      </c>
      <c r="AO13" s="212">
        <v>0.23500200487338455</v>
      </c>
      <c r="AP13" s="316">
        <v>1</v>
      </c>
      <c r="AQ13" s="315">
        <v>32421</v>
      </c>
    </row>
    <row r="14" spans="1:44" ht="18" customHeight="1" x14ac:dyDescent="0.3">
      <c r="A14" s="321" t="s">
        <v>142</v>
      </c>
      <c r="B14" s="216">
        <v>0</v>
      </c>
      <c r="C14" s="216">
        <v>8.6100861008610082E-3</v>
      </c>
      <c r="D14" s="216">
        <v>6.7650676506765071E-3</v>
      </c>
      <c r="E14" s="216">
        <v>5.2275522755227552E-2</v>
      </c>
      <c r="F14" s="216">
        <v>9.1635916359163586E-2</v>
      </c>
      <c r="G14" s="216">
        <v>7.5645756457564578E-2</v>
      </c>
      <c r="H14" s="216">
        <v>0</v>
      </c>
      <c r="I14" s="216">
        <v>4.7970479704797044E-2</v>
      </c>
      <c r="J14" s="216">
        <v>0.59286592865928656</v>
      </c>
      <c r="K14" s="216">
        <v>0.12423124231242312</v>
      </c>
      <c r="L14" s="216">
        <v>1</v>
      </c>
      <c r="M14" s="217">
        <v>1626</v>
      </c>
      <c r="AD14" s="211"/>
      <c r="AE14" s="211" t="s">
        <v>144</v>
      </c>
      <c r="AF14" s="212">
        <v>0</v>
      </c>
      <c r="AG14" s="212">
        <v>4.71976401179941E-2</v>
      </c>
      <c r="AH14" s="212">
        <v>0.12389380530973451</v>
      </c>
      <c r="AI14" s="212">
        <v>0.24778761061946902</v>
      </c>
      <c r="AJ14" s="212">
        <v>0.12684365781710916</v>
      </c>
      <c r="AK14" s="212">
        <v>3.2448377581120944E-2</v>
      </c>
      <c r="AL14" s="212">
        <v>0</v>
      </c>
      <c r="AM14" s="212">
        <v>0.13569321533923304</v>
      </c>
      <c r="AN14" s="212">
        <v>0.25073746312684364</v>
      </c>
      <c r="AO14" s="212">
        <v>3.5398230088495575E-2</v>
      </c>
      <c r="AP14" s="316">
        <v>1</v>
      </c>
      <c r="AQ14" s="315">
        <v>339</v>
      </c>
    </row>
    <row r="15" spans="1:44" ht="18" customHeight="1" x14ac:dyDescent="0.3">
      <c r="A15" s="321" t="s">
        <v>149</v>
      </c>
      <c r="B15" s="216">
        <v>0</v>
      </c>
      <c r="C15" s="216">
        <v>6.7173637515842835E-2</v>
      </c>
      <c r="D15" s="216">
        <v>8.2382762991128011E-2</v>
      </c>
      <c r="E15" s="216">
        <v>8.2382762991128011E-2</v>
      </c>
      <c r="F15" s="216">
        <v>6.4638783269961975E-2</v>
      </c>
      <c r="G15" s="216">
        <v>0.6045627376425855</v>
      </c>
      <c r="H15" s="216">
        <v>0</v>
      </c>
      <c r="I15" s="216">
        <v>2.1546261089987327E-2</v>
      </c>
      <c r="J15" s="216">
        <v>2.9150823827629912E-2</v>
      </c>
      <c r="K15" s="216">
        <v>4.8162230671736375E-2</v>
      </c>
      <c r="L15" s="216">
        <v>1</v>
      </c>
      <c r="M15" s="217">
        <v>789</v>
      </c>
      <c r="AD15" s="211"/>
      <c r="AE15" s="211" t="s">
        <v>145</v>
      </c>
      <c r="AF15" s="212">
        <v>0</v>
      </c>
      <c r="AG15" s="212">
        <v>0.18237704918032788</v>
      </c>
      <c r="AH15" s="212">
        <v>6.5573770491803282E-2</v>
      </c>
      <c r="AI15" s="212">
        <v>0.3094262295081967</v>
      </c>
      <c r="AJ15" s="212">
        <v>0.20696721311475411</v>
      </c>
      <c r="AK15" s="212">
        <v>6.9672131147540978E-2</v>
      </c>
      <c r="AL15" s="212">
        <v>0</v>
      </c>
      <c r="AM15" s="212">
        <v>0</v>
      </c>
      <c r="AN15" s="212">
        <v>4.0983606557377046E-2</v>
      </c>
      <c r="AO15" s="212">
        <v>0.125</v>
      </c>
      <c r="AP15" s="316">
        <v>1</v>
      </c>
      <c r="AQ15" s="315">
        <v>488</v>
      </c>
    </row>
    <row r="16" spans="1:44" ht="18" customHeight="1" x14ac:dyDescent="0.3">
      <c r="A16" s="321" t="s">
        <v>147</v>
      </c>
      <c r="B16" s="216">
        <v>0</v>
      </c>
      <c r="C16" s="216">
        <v>1.8662519440124418E-2</v>
      </c>
      <c r="D16" s="216">
        <v>9.3312597200622086E-2</v>
      </c>
      <c r="E16" s="216">
        <v>0.13063763608087092</v>
      </c>
      <c r="F16" s="216">
        <v>0.13374805598755832</v>
      </c>
      <c r="G16" s="216">
        <v>2.7993779160186624E-2</v>
      </c>
      <c r="H16" s="216">
        <v>1.5552099533437014E-3</v>
      </c>
      <c r="I16" s="216">
        <v>0.29393468118195959</v>
      </c>
      <c r="J16" s="216">
        <v>0.14463452566096424</v>
      </c>
      <c r="K16" s="216">
        <v>0.15552099533437014</v>
      </c>
      <c r="L16" s="216">
        <v>1</v>
      </c>
      <c r="M16" s="217">
        <v>643</v>
      </c>
      <c r="AD16" s="211"/>
      <c r="AE16" s="211" t="s">
        <v>146</v>
      </c>
      <c r="AF16" s="212">
        <v>0</v>
      </c>
      <c r="AG16" s="212">
        <v>0.1223021582733813</v>
      </c>
      <c r="AH16" s="212">
        <v>7.1942446043165471E-3</v>
      </c>
      <c r="AI16" s="212">
        <v>0.51079136690647486</v>
      </c>
      <c r="AJ16" s="212">
        <v>0.12949640287769784</v>
      </c>
      <c r="AK16" s="212">
        <v>5.0359712230215826E-2</v>
      </c>
      <c r="AL16" s="212">
        <v>0</v>
      </c>
      <c r="AM16" s="212">
        <v>0.10071942446043165</v>
      </c>
      <c r="AN16" s="212">
        <v>7.1942446043165471E-3</v>
      </c>
      <c r="AO16" s="212">
        <v>7.1942446043165464E-2</v>
      </c>
      <c r="AP16" s="316">
        <v>1</v>
      </c>
      <c r="AQ16" s="315">
        <v>139</v>
      </c>
    </row>
    <row r="17" spans="1:43" ht="18" customHeight="1" x14ac:dyDescent="0.3">
      <c r="A17" s="321" t="s">
        <v>145</v>
      </c>
      <c r="B17" s="216">
        <v>0</v>
      </c>
      <c r="C17" s="216">
        <v>0.18237704918032788</v>
      </c>
      <c r="D17" s="216">
        <v>6.5573770491803282E-2</v>
      </c>
      <c r="E17" s="216">
        <v>0.3094262295081967</v>
      </c>
      <c r="F17" s="216">
        <v>0.20696721311475411</v>
      </c>
      <c r="G17" s="216">
        <v>6.9672131147540978E-2</v>
      </c>
      <c r="H17" s="216">
        <v>0</v>
      </c>
      <c r="I17" s="216">
        <v>0</v>
      </c>
      <c r="J17" s="216">
        <v>4.0983606557377046E-2</v>
      </c>
      <c r="K17" s="216">
        <v>0.125</v>
      </c>
      <c r="L17" s="216">
        <v>1</v>
      </c>
      <c r="M17" s="217">
        <v>488</v>
      </c>
      <c r="AD17" s="211"/>
      <c r="AE17" s="211" t="s">
        <v>147</v>
      </c>
      <c r="AF17" s="212">
        <v>0</v>
      </c>
      <c r="AG17" s="212">
        <v>1.8662519440124418E-2</v>
      </c>
      <c r="AH17" s="212">
        <v>9.3312597200622086E-2</v>
      </c>
      <c r="AI17" s="212">
        <v>0.13063763608087092</v>
      </c>
      <c r="AJ17" s="212">
        <v>0.13374805598755832</v>
      </c>
      <c r="AK17" s="212">
        <v>2.7993779160186624E-2</v>
      </c>
      <c r="AL17" s="212">
        <v>1.5552099533437014E-3</v>
      </c>
      <c r="AM17" s="212">
        <v>0.29393468118195959</v>
      </c>
      <c r="AN17" s="212">
        <v>0.14463452566096424</v>
      </c>
      <c r="AO17" s="212">
        <v>0.15552099533437014</v>
      </c>
      <c r="AP17" s="316">
        <v>1</v>
      </c>
      <c r="AQ17" s="315">
        <v>643</v>
      </c>
    </row>
    <row r="18" spans="1:43" ht="18" customHeight="1" x14ac:dyDescent="0.3">
      <c r="A18" s="321" t="s">
        <v>144</v>
      </c>
      <c r="B18" s="216">
        <v>0</v>
      </c>
      <c r="C18" s="216">
        <v>4.71976401179941E-2</v>
      </c>
      <c r="D18" s="216">
        <v>0.12389380530973451</v>
      </c>
      <c r="E18" s="216">
        <v>0.24778761061946902</v>
      </c>
      <c r="F18" s="216">
        <v>0.12684365781710916</v>
      </c>
      <c r="G18" s="216">
        <v>3.2448377581120944E-2</v>
      </c>
      <c r="H18" s="216">
        <v>0</v>
      </c>
      <c r="I18" s="216">
        <v>0.13569321533923304</v>
      </c>
      <c r="J18" s="216">
        <v>0.25073746312684364</v>
      </c>
      <c r="K18" s="216">
        <v>3.5398230088495575E-2</v>
      </c>
      <c r="L18" s="216">
        <v>1</v>
      </c>
      <c r="M18" s="217">
        <v>339</v>
      </c>
      <c r="AD18" s="211"/>
      <c r="AE18" s="211" t="s">
        <v>148</v>
      </c>
      <c r="AF18" s="212">
        <v>0</v>
      </c>
      <c r="AG18" s="212">
        <v>1.2473069509014627E-2</v>
      </c>
      <c r="AH18" s="212">
        <v>2.2678308198208412E-3</v>
      </c>
      <c r="AI18" s="212">
        <v>2.4832747477038213E-2</v>
      </c>
      <c r="AJ18" s="212">
        <v>2.0864043542351739E-2</v>
      </c>
      <c r="AK18" s="212">
        <v>0.70075972332464009</v>
      </c>
      <c r="AL18" s="212">
        <v>1.3606984918925051E-3</v>
      </c>
      <c r="AM18" s="212">
        <v>8.7311486563102399E-3</v>
      </c>
      <c r="AN18" s="212">
        <v>7.0416146955437131E-2</v>
      </c>
      <c r="AO18" s="212">
        <v>0.15829459122349473</v>
      </c>
      <c r="AP18" s="316">
        <v>1</v>
      </c>
      <c r="AQ18" s="315">
        <v>8819</v>
      </c>
    </row>
    <row r="19" spans="1:43" ht="18" customHeight="1" x14ac:dyDescent="0.3">
      <c r="A19" s="321" t="s">
        <v>151</v>
      </c>
      <c r="B19" s="216">
        <v>0</v>
      </c>
      <c r="C19" s="216">
        <v>3.5175879396984924E-2</v>
      </c>
      <c r="D19" s="216">
        <v>6.5326633165829151E-2</v>
      </c>
      <c r="E19" s="216">
        <v>0.18090452261306533</v>
      </c>
      <c r="F19" s="216">
        <v>0.23618090452261306</v>
      </c>
      <c r="G19" s="216">
        <v>0.1306532663316583</v>
      </c>
      <c r="H19" s="216">
        <v>0</v>
      </c>
      <c r="I19" s="216">
        <v>9.0452261306532666E-2</v>
      </c>
      <c r="J19" s="216">
        <v>7.5376884422110546E-2</v>
      </c>
      <c r="K19" s="216">
        <v>0.18592964824120603</v>
      </c>
      <c r="L19" s="216">
        <v>1</v>
      </c>
      <c r="M19" s="217">
        <v>199</v>
      </c>
      <c r="AD19" s="211"/>
      <c r="AE19" s="211" t="s">
        <v>149</v>
      </c>
      <c r="AF19" s="212">
        <v>0</v>
      </c>
      <c r="AG19" s="212">
        <v>6.7173637515842835E-2</v>
      </c>
      <c r="AH19" s="212">
        <v>8.2382762991128011E-2</v>
      </c>
      <c r="AI19" s="212">
        <v>8.2382762991128011E-2</v>
      </c>
      <c r="AJ19" s="212">
        <v>6.4638783269961975E-2</v>
      </c>
      <c r="AK19" s="212">
        <v>0.6045627376425855</v>
      </c>
      <c r="AL19" s="212">
        <v>0</v>
      </c>
      <c r="AM19" s="212">
        <v>2.1546261089987327E-2</v>
      </c>
      <c r="AN19" s="212">
        <v>2.9150823827629912E-2</v>
      </c>
      <c r="AO19" s="212">
        <v>4.8162230671736375E-2</v>
      </c>
      <c r="AP19" s="316">
        <v>1</v>
      </c>
      <c r="AQ19" s="315">
        <v>789</v>
      </c>
    </row>
    <row r="20" spans="1:43" ht="18" customHeight="1" x14ac:dyDescent="0.3">
      <c r="A20" s="321" t="s">
        <v>139</v>
      </c>
      <c r="B20" s="216">
        <v>0</v>
      </c>
      <c r="C20" s="216">
        <v>2.097902097902098E-2</v>
      </c>
      <c r="D20" s="216">
        <v>9.0909090909090912E-2</v>
      </c>
      <c r="E20" s="216">
        <v>0.23776223776223776</v>
      </c>
      <c r="F20" s="216">
        <v>2.7972027972027972E-2</v>
      </c>
      <c r="G20" s="216">
        <v>2.097902097902098E-2</v>
      </c>
      <c r="H20" s="216">
        <v>0</v>
      </c>
      <c r="I20" s="216">
        <v>0.20979020979020979</v>
      </c>
      <c r="J20" s="216">
        <v>0.1048951048951049</v>
      </c>
      <c r="K20" s="216">
        <v>0.28671328671328672</v>
      </c>
      <c r="L20" s="216">
        <v>1</v>
      </c>
      <c r="M20" s="217">
        <v>143</v>
      </c>
      <c r="AD20" s="211"/>
      <c r="AE20" s="211" t="s">
        <v>55</v>
      </c>
      <c r="AF20" s="212">
        <v>0</v>
      </c>
      <c r="AG20" s="212">
        <v>5.3254437869822494E-2</v>
      </c>
      <c r="AH20" s="212">
        <v>0.22840236686390533</v>
      </c>
      <c r="AI20" s="212">
        <v>9.4082840236686394E-2</v>
      </c>
      <c r="AJ20" s="212">
        <v>7.0414201183431946E-2</v>
      </c>
      <c r="AK20" s="212">
        <v>9.2899408284023668E-2</v>
      </c>
      <c r="AL20" s="212">
        <v>1.1834319526627219E-3</v>
      </c>
      <c r="AM20" s="212">
        <v>5.9171597633136092E-2</v>
      </c>
      <c r="AN20" s="212">
        <v>0.23195266272189349</v>
      </c>
      <c r="AO20" s="212">
        <v>0.16863905325443787</v>
      </c>
      <c r="AP20" s="316">
        <v>1</v>
      </c>
      <c r="AQ20" s="315">
        <v>1690</v>
      </c>
    </row>
    <row r="21" spans="1:43" ht="18" customHeight="1" x14ac:dyDescent="0.3">
      <c r="A21" s="321" t="s">
        <v>140</v>
      </c>
      <c r="B21" s="216">
        <v>0</v>
      </c>
      <c r="C21" s="216">
        <v>1.4184397163120567E-2</v>
      </c>
      <c r="D21" s="216">
        <v>1.4184397163120567E-2</v>
      </c>
      <c r="E21" s="216">
        <v>0.20567375886524822</v>
      </c>
      <c r="F21" s="216">
        <v>1.4184397163120567E-2</v>
      </c>
      <c r="G21" s="216">
        <v>0</v>
      </c>
      <c r="H21" s="216">
        <v>0</v>
      </c>
      <c r="I21" s="216">
        <v>0.11347517730496454</v>
      </c>
      <c r="J21" s="216">
        <v>0.16312056737588654</v>
      </c>
      <c r="K21" s="216">
        <v>0.47517730496453903</v>
      </c>
      <c r="L21" s="216">
        <v>1</v>
      </c>
      <c r="M21" s="217">
        <v>141</v>
      </c>
      <c r="AD21" s="211"/>
      <c r="AE21" s="211" t="s">
        <v>150</v>
      </c>
      <c r="AF21" s="212">
        <v>0</v>
      </c>
      <c r="AG21" s="212">
        <v>1.5665796344647518E-2</v>
      </c>
      <c r="AH21" s="212">
        <v>9.0078328981723244E-2</v>
      </c>
      <c r="AI21" s="212">
        <v>0.1106396866840731</v>
      </c>
      <c r="AJ21" s="212">
        <v>3.2963446475195821E-2</v>
      </c>
      <c r="AK21" s="212">
        <v>0.23661879895561358</v>
      </c>
      <c r="AL21" s="212">
        <v>9.7911227154046988E-4</v>
      </c>
      <c r="AM21" s="212">
        <v>7.9960835509138378E-2</v>
      </c>
      <c r="AN21" s="212">
        <v>3.0678851174934726E-2</v>
      </c>
      <c r="AO21" s="212">
        <v>0.40241514360313319</v>
      </c>
      <c r="AP21" s="316">
        <v>1</v>
      </c>
      <c r="AQ21" s="315">
        <v>3064</v>
      </c>
    </row>
    <row r="22" spans="1:43" ht="18" customHeight="1" x14ac:dyDescent="0.3">
      <c r="A22" s="321" t="s">
        <v>138</v>
      </c>
      <c r="B22" s="216">
        <v>0</v>
      </c>
      <c r="C22" s="216">
        <v>0.10071942446043165</v>
      </c>
      <c r="D22" s="216">
        <v>0.10791366906474821</v>
      </c>
      <c r="E22" s="216">
        <v>0.15107913669064749</v>
      </c>
      <c r="F22" s="216">
        <v>5.7553956834532377E-2</v>
      </c>
      <c r="G22" s="216">
        <v>7.1942446043165471E-3</v>
      </c>
      <c r="H22" s="216">
        <v>0</v>
      </c>
      <c r="I22" s="216">
        <v>8.6330935251798552E-2</v>
      </c>
      <c r="J22" s="216">
        <v>0.32374100719424459</v>
      </c>
      <c r="K22" s="216">
        <v>0.16546762589928057</v>
      </c>
      <c r="L22" s="216">
        <v>1</v>
      </c>
      <c r="M22" s="217">
        <v>139</v>
      </c>
      <c r="AD22" s="211"/>
      <c r="AE22" s="211" t="s">
        <v>151</v>
      </c>
      <c r="AF22" s="212">
        <v>0</v>
      </c>
      <c r="AG22" s="212">
        <v>3.5175879396984924E-2</v>
      </c>
      <c r="AH22" s="212">
        <v>6.5326633165829151E-2</v>
      </c>
      <c r="AI22" s="212">
        <v>0.18090452261306533</v>
      </c>
      <c r="AJ22" s="212">
        <v>0.23618090452261306</v>
      </c>
      <c r="AK22" s="212">
        <v>0.1306532663316583</v>
      </c>
      <c r="AL22" s="212">
        <v>0</v>
      </c>
      <c r="AM22" s="212">
        <v>9.0452261306532666E-2</v>
      </c>
      <c r="AN22" s="212">
        <v>7.5376884422110546E-2</v>
      </c>
      <c r="AO22" s="212">
        <v>0.18592964824120603</v>
      </c>
      <c r="AP22" s="316">
        <v>1</v>
      </c>
      <c r="AQ22" s="315">
        <v>199</v>
      </c>
    </row>
    <row r="23" spans="1:43" s="14" customFormat="1" ht="15.75" customHeight="1" x14ac:dyDescent="0.3">
      <c r="A23" s="321" t="s">
        <v>146</v>
      </c>
      <c r="B23" s="216">
        <v>0</v>
      </c>
      <c r="C23" s="216">
        <v>0.1223021582733813</v>
      </c>
      <c r="D23" s="216">
        <v>7.1942446043165471E-3</v>
      </c>
      <c r="E23" s="216">
        <v>0.51079136690647486</v>
      </c>
      <c r="F23" s="216">
        <v>0.12949640287769784</v>
      </c>
      <c r="G23" s="216">
        <v>5.0359712230215826E-2</v>
      </c>
      <c r="H23" s="216">
        <v>0</v>
      </c>
      <c r="I23" s="216">
        <v>0.10071942446043165</v>
      </c>
      <c r="J23" s="216">
        <v>7.1942446043165471E-3</v>
      </c>
      <c r="K23" s="216">
        <v>7.1942446043165464E-2</v>
      </c>
      <c r="L23" s="216">
        <v>1</v>
      </c>
      <c r="M23" s="217">
        <v>139</v>
      </c>
      <c r="AD23" s="211"/>
      <c r="AE23" s="211" t="s">
        <v>152</v>
      </c>
      <c r="AF23" s="212">
        <v>0</v>
      </c>
      <c r="AG23" s="212">
        <v>2.5121555915721232E-2</v>
      </c>
      <c r="AH23" s="212">
        <v>2.8092922744462453E-2</v>
      </c>
      <c r="AI23" s="212">
        <v>0.13025391680172879</v>
      </c>
      <c r="AJ23" s="212">
        <v>0.11075094543490005</v>
      </c>
      <c r="AK23" s="212">
        <v>0.11982712047541869</v>
      </c>
      <c r="AL23" s="212">
        <v>1.4046461372231229E-3</v>
      </c>
      <c r="AM23" s="212">
        <v>9.9621826039978392E-2</v>
      </c>
      <c r="AN23" s="212">
        <v>0.26531604538087522</v>
      </c>
      <c r="AO23" s="212">
        <v>0.21961102106969205</v>
      </c>
      <c r="AP23" s="316">
        <v>1</v>
      </c>
      <c r="AQ23" s="315">
        <v>18510</v>
      </c>
    </row>
    <row r="24" spans="1:43" s="14" customFormat="1" ht="15.75" customHeight="1" x14ac:dyDescent="0.3">
      <c r="A24" s="321" t="s">
        <v>154</v>
      </c>
      <c r="B24" s="216">
        <v>0</v>
      </c>
      <c r="C24" s="216">
        <v>7.1428571428571425E-2</v>
      </c>
      <c r="D24" s="216">
        <v>0.14285714285714285</v>
      </c>
      <c r="E24" s="216">
        <v>0.42857142857142855</v>
      </c>
      <c r="F24" s="216">
        <v>0.10714285714285714</v>
      </c>
      <c r="G24" s="216">
        <v>0.10714285714285714</v>
      </c>
      <c r="H24" s="216">
        <v>0</v>
      </c>
      <c r="I24" s="216">
        <v>0</v>
      </c>
      <c r="J24" s="216">
        <v>7.1428571428571425E-2</v>
      </c>
      <c r="K24" s="216">
        <v>7.1428571428571425E-2</v>
      </c>
      <c r="L24" s="216">
        <v>1</v>
      </c>
      <c r="M24" s="217">
        <v>28</v>
      </c>
      <c r="AD24" s="211"/>
      <c r="AE24" s="211" t="s">
        <v>153</v>
      </c>
      <c r="AF24" s="212">
        <v>0</v>
      </c>
      <c r="AG24" s="212">
        <v>1.9408054342552158E-4</v>
      </c>
      <c r="AH24" s="212">
        <v>1.3585638039786514E-3</v>
      </c>
      <c r="AI24" s="212">
        <v>5.8224163027656482E-4</v>
      </c>
      <c r="AJ24" s="212">
        <v>2.9112081513828241E-4</v>
      </c>
      <c r="AK24" s="212">
        <v>8.7239204269771969E-2</v>
      </c>
      <c r="AL24" s="212">
        <v>6.7928190198932568E-4</v>
      </c>
      <c r="AM24" s="212">
        <v>1.7467248908296941E-3</v>
      </c>
      <c r="AN24" s="212">
        <v>7.1130519165453668E-2</v>
      </c>
      <c r="AO24" s="212">
        <v>0.83677826297913638</v>
      </c>
      <c r="AP24" s="316">
        <v>1</v>
      </c>
      <c r="AQ24" s="315">
        <v>10305</v>
      </c>
    </row>
    <row r="25" spans="1:43" s="14" customFormat="1" ht="15.75" customHeight="1" x14ac:dyDescent="0.3">
      <c r="A25" s="321" t="s">
        <v>123</v>
      </c>
      <c r="B25" s="216">
        <v>0</v>
      </c>
      <c r="C25" s="216">
        <v>1.6337752335040676E-2</v>
      </c>
      <c r="D25" s="216">
        <v>1.6277493220849655E-2</v>
      </c>
      <c r="E25" s="216">
        <v>6.3927387767399813E-2</v>
      </c>
      <c r="F25" s="216">
        <v>4.3454353721000302E-2</v>
      </c>
      <c r="G25" s="216">
        <v>0.23939439590238024</v>
      </c>
      <c r="H25" s="216">
        <v>7.9993974088580899E-3</v>
      </c>
      <c r="I25" s="216">
        <v>0.21424374811690272</v>
      </c>
      <c r="J25" s="216">
        <v>0.12191925278698403</v>
      </c>
      <c r="K25" s="216">
        <v>0.2764462187405845</v>
      </c>
      <c r="L25" s="216">
        <v>1</v>
      </c>
      <c r="M25" s="217">
        <v>132760</v>
      </c>
      <c r="AD25" s="211"/>
      <c r="AE25" s="211" t="s">
        <v>154</v>
      </c>
      <c r="AF25" s="212">
        <v>0</v>
      </c>
      <c r="AG25" s="212">
        <v>7.1428571428571425E-2</v>
      </c>
      <c r="AH25" s="212">
        <v>0.14285714285714285</v>
      </c>
      <c r="AI25" s="212">
        <v>0.42857142857142855</v>
      </c>
      <c r="AJ25" s="212">
        <v>0.10714285714285714</v>
      </c>
      <c r="AK25" s="212">
        <v>0.10714285714285714</v>
      </c>
      <c r="AL25" s="212">
        <v>0</v>
      </c>
      <c r="AM25" s="212">
        <v>0</v>
      </c>
      <c r="AN25" s="212">
        <v>7.1428571428571425E-2</v>
      </c>
      <c r="AO25" s="212">
        <v>7.1428571428571425E-2</v>
      </c>
      <c r="AP25" s="316">
        <v>1</v>
      </c>
      <c r="AQ25" s="315">
        <v>28</v>
      </c>
    </row>
    <row r="26" spans="1:43" ht="21.75" customHeight="1" x14ac:dyDescent="0.3">
      <c r="A26" s="1" t="s">
        <v>238</v>
      </c>
      <c r="AD26" s="211"/>
      <c r="AE26" s="211" t="s">
        <v>123</v>
      </c>
      <c r="AF26" s="212">
        <v>0</v>
      </c>
      <c r="AG26" s="212">
        <v>1.6337752335040676E-2</v>
      </c>
      <c r="AH26" s="212">
        <v>1.6277493220849655E-2</v>
      </c>
      <c r="AI26" s="212">
        <v>6.3927387767399813E-2</v>
      </c>
      <c r="AJ26" s="212">
        <v>4.3454353721000302E-2</v>
      </c>
      <c r="AK26" s="212">
        <v>0.23939439590238024</v>
      </c>
      <c r="AL26" s="212">
        <v>7.9993974088580899E-3</v>
      </c>
      <c r="AM26" s="212">
        <v>0.21424374811690272</v>
      </c>
      <c r="AN26" s="212">
        <v>0.12191925278698403</v>
      </c>
      <c r="AO26" s="212">
        <v>0.2764462187405845</v>
      </c>
      <c r="AP26" s="316">
        <v>1</v>
      </c>
      <c r="AQ26" s="315">
        <v>132760</v>
      </c>
    </row>
    <row r="27" spans="1:43" x14ac:dyDescent="0.3">
      <c r="AD27" s="213"/>
      <c r="AE27" s="213" t="s">
        <v>121</v>
      </c>
      <c r="AF27" s="214">
        <v>0</v>
      </c>
      <c r="AG27" s="214">
        <v>0</v>
      </c>
      <c r="AH27" s="214">
        <v>0</v>
      </c>
      <c r="AI27" s="214">
        <v>0</v>
      </c>
      <c r="AJ27" s="214">
        <v>0</v>
      </c>
      <c r="AK27" s="214">
        <v>0</v>
      </c>
      <c r="AL27" s="214">
        <v>0</v>
      </c>
      <c r="AM27" s="214">
        <v>0</v>
      </c>
      <c r="AN27" s="214">
        <v>0</v>
      </c>
      <c r="AO27" s="214">
        <v>0</v>
      </c>
      <c r="AP27" s="318">
        <v>0</v>
      </c>
      <c r="AQ27" s="317">
        <v>0</v>
      </c>
    </row>
    <row r="28" spans="1:43" x14ac:dyDescent="0.3">
      <c r="AD28" s="213"/>
      <c r="AE28" s="213" t="s">
        <v>123</v>
      </c>
      <c r="AF28" s="214">
        <v>1.9219559840572175E-2</v>
      </c>
      <c r="AG28" s="214">
        <v>8.0919073050081114E-2</v>
      </c>
      <c r="AH28" s="214">
        <v>0.24795595254974243</v>
      </c>
      <c r="AI28" s="214">
        <v>0.20218346802778955</v>
      </c>
      <c r="AJ28" s="214">
        <v>0.26235486869259733</v>
      </c>
      <c r="AK28" s="215">
        <v>126954</v>
      </c>
    </row>
    <row r="33" spans="1:1" ht="22.8" customHeight="1" x14ac:dyDescent="0.3"/>
    <row r="34" spans="1:1" ht="34.200000000000003" customHeight="1" x14ac:dyDescent="0.3"/>
    <row r="35" spans="1:1" ht="34.200000000000003" customHeight="1" x14ac:dyDescent="0.3"/>
    <row r="36" spans="1:1" ht="34.200000000000003" customHeight="1" x14ac:dyDescent="0.3"/>
    <row r="37" spans="1:1" ht="34.200000000000003" customHeight="1" x14ac:dyDescent="0.3"/>
    <row r="38" spans="1:1" ht="45.6" customHeight="1" x14ac:dyDescent="0.3"/>
    <row r="39" spans="1:1" ht="22.8" customHeight="1" x14ac:dyDescent="0.3"/>
    <row r="42" spans="1:1" ht="22.8" customHeight="1" x14ac:dyDescent="0.3"/>
    <row r="44" spans="1:1" ht="22.8" customHeight="1" x14ac:dyDescent="0.3">
      <c r="A44" s="1" t="s">
        <v>239</v>
      </c>
    </row>
    <row r="45" spans="1:1" ht="34.200000000000003" customHeight="1" x14ac:dyDescent="0.3"/>
    <row r="46" spans="1:1" ht="22.8" customHeight="1" x14ac:dyDescent="0.3"/>
    <row r="47" spans="1:1" ht="22.8" customHeight="1" x14ac:dyDescent="0.3"/>
    <row r="49" ht="34.200000000000003" customHeight="1" x14ac:dyDescent="0.3"/>
    <row r="50" ht="22.8" customHeight="1" x14ac:dyDescent="0.3"/>
    <row r="51" ht="45.6" customHeight="1" x14ac:dyDescent="0.3"/>
    <row r="52" ht="22.8" customHeight="1" x14ac:dyDescent="0.3"/>
    <row r="54" ht="22.8" customHeight="1" x14ac:dyDescent="0.3"/>
    <row r="55" ht="22.8" customHeight="1" x14ac:dyDescent="0.3"/>
    <row r="56" ht="22.8" customHeight="1" x14ac:dyDescent="0.3"/>
    <row r="57" ht="22.8" customHeight="1" x14ac:dyDescent="0.3"/>
    <row r="58" ht="34.200000000000003" customHeight="1" x14ac:dyDescent="0.3"/>
    <row r="59" ht="22.8" customHeight="1" x14ac:dyDescent="0.3"/>
    <row r="60" ht="22.8" customHeight="1" x14ac:dyDescent="0.3"/>
    <row r="64" ht="22.8" customHeight="1" x14ac:dyDescent="0.3"/>
    <row r="65" spans="1:1" ht="22.8" customHeight="1" x14ac:dyDescent="0.3">
      <c r="A65" s="15" t="s">
        <v>240</v>
      </c>
    </row>
    <row r="66" spans="1:1" ht="22.8" customHeight="1" x14ac:dyDescent="0.3"/>
    <row r="67" spans="1:1" ht="22.8" customHeight="1" x14ac:dyDescent="0.3"/>
    <row r="68" spans="1:1" ht="22.8" customHeight="1" x14ac:dyDescent="0.3"/>
    <row r="70" spans="1:1" ht="34.200000000000003" customHeight="1" x14ac:dyDescent="0.3"/>
    <row r="71" spans="1:1" ht="22.8" customHeight="1" x14ac:dyDescent="0.3"/>
    <row r="72" spans="1:1" ht="22.8" customHeight="1" x14ac:dyDescent="0.3"/>
    <row r="73" spans="1:1" ht="45.6" customHeight="1" x14ac:dyDescent="0.3"/>
    <row r="74" spans="1:1" ht="22.8" customHeight="1" x14ac:dyDescent="0.3"/>
    <row r="75" spans="1:1" ht="22.8" customHeight="1" x14ac:dyDescent="0.3"/>
    <row r="76" spans="1:1" ht="34.200000000000003" customHeight="1" x14ac:dyDescent="0.3"/>
    <row r="79" spans="1:1" ht="34.200000000000003" customHeight="1" x14ac:dyDescent="0.3"/>
    <row r="80" spans="1:1" ht="22.8" customHeight="1" x14ac:dyDescent="0.3"/>
    <row r="81" ht="34.200000000000003" customHeight="1" x14ac:dyDescent="0.3"/>
    <row r="82" ht="34.200000000000003" customHeight="1" x14ac:dyDescent="0.3"/>
    <row r="83" ht="45.6" customHeight="1" x14ac:dyDescent="0.3"/>
    <row r="84" ht="22.8" customHeight="1" x14ac:dyDescent="0.3"/>
    <row r="85" ht="34.200000000000003" customHeight="1" x14ac:dyDescent="0.3"/>
    <row r="86" ht="22.8" customHeight="1" x14ac:dyDescent="0.3"/>
    <row r="87" ht="22.8" customHeight="1" x14ac:dyDescent="0.3"/>
    <row r="88" ht="22.8" customHeight="1" x14ac:dyDescent="0.3"/>
    <row r="89" ht="57" customHeight="1" x14ac:dyDescent="0.3"/>
    <row r="90" ht="22.8" customHeight="1" x14ac:dyDescent="0.3"/>
    <row r="91" ht="34.200000000000003" customHeight="1" x14ac:dyDescent="0.3"/>
    <row r="92" ht="57" customHeight="1" x14ac:dyDescent="0.3"/>
    <row r="94" ht="22.8" customHeight="1" x14ac:dyDescent="0.3"/>
    <row r="95" ht="22.8" customHeight="1" x14ac:dyDescent="0.3"/>
    <row r="96" ht="22.8" customHeight="1" x14ac:dyDescent="0.3"/>
    <row r="97" ht="22.8" customHeight="1" x14ac:dyDescent="0.3"/>
    <row r="98" ht="22.8" customHeight="1" x14ac:dyDescent="0.3"/>
    <row r="99" ht="22.8" customHeight="1" x14ac:dyDescent="0.3"/>
    <row r="100" ht="22.8" customHeight="1" x14ac:dyDescent="0.3"/>
    <row r="102" ht="34.200000000000003" customHeight="1" x14ac:dyDescent="0.3"/>
    <row r="103" ht="22.8" customHeight="1" x14ac:dyDescent="0.3"/>
    <row r="104" ht="22.8" customHeight="1" x14ac:dyDescent="0.3"/>
    <row r="105" ht="34.200000000000003" customHeight="1" x14ac:dyDescent="0.3"/>
    <row r="106" ht="22.8" customHeight="1" x14ac:dyDescent="0.3"/>
    <row r="107" ht="34.200000000000003" customHeight="1" x14ac:dyDescent="0.3"/>
    <row r="108" ht="22.8" customHeight="1" x14ac:dyDescent="0.3"/>
    <row r="109" ht="45.6" customHeight="1" x14ac:dyDescent="0.3"/>
    <row r="110" ht="22.8" customHeight="1" x14ac:dyDescent="0.3"/>
    <row r="111" ht="22.8" customHeight="1" x14ac:dyDescent="0.3"/>
    <row r="112" ht="22.8" customHeight="1" x14ac:dyDescent="0.3"/>
    <row r="113" ht="22.8" customHeight="1" x14ac:dyDescent="0.3"/>
    <row r="114" ht="22.8" customHeight="1" x14ac:dyDescent="0.3"/>
    <row r="115" ht="34.200000000000003" customHeight="1" x14ac:dyDescent="0.3"/>
    <row r="116" ht="22.8" customHeight="1" x14ac:dyDescent="0.3"/>
    <row r="117" ht="22.8" customHeight="1" x14ac:dyDescent="0.3"/>
    <row r="118" ht="22.8" customHeight="1" x14ac:dyDescent="0.3"/>
    <row r="119" ht="34.200000000000003" customHeight="1" x14ac:dyDescent="0.3"/>
    <row r="120" ht="22.8" customHeight="1" x14ac:dyDescent="0.3"/>
    <row r="121" ht="22.8" customHeight="1" x14ac:dyDescent="0.3"/>
    <row r="122" ht="22.8" customHeight="1" x14ac:dyDescent="0.3"/>
    <row r="123" ht="34.200000000000003" customHeight="1" x14ac:dyDescent="0.3"/>
    <row r="124" ht="22.8" customHeight="1" x14ac:dyDescent="0.3"/>
    <row r="125" ht="34.200000000000003" customHeight="1" x14ac:dyDescent="0.3"/>
    <row r="126" ht="22.8" customHeight="1" x14ac:dyDescent="0.3"/>
    <row r="127" ht="22.8" customHeight="1" x14ac:dyDescent="0.3"/>
    <row r="128" ht="34.200000000000003" customHeight="1" x14ac:dyDescent="0.3"/>
    <row r="131" ht="22.8" customHeight="1" x14ac:dyDescent="0.3"/>
    <row r="132" ht="22.8" customHeight="1" x14ac:dyDescent="0.3"/>
    <row r="133" ht="34.200000000000003" customHeight="1" x14ac:dyDescent="0.3"/>
    <row r="134" ht="57" customHeight="1" x14ac:dyDescent="0.3"/>
    <row r="135" ht="22.8" customHeight="1" x14ac:dyDescent="0.3"/>
    <row r="136" ht="45.6" customHeight="1" x14ac:dyDescent="0.3"/>
    <row r="137" ht="22.8" customHeight="1" x14ac:dyDescent="0.3"/>
    <row r="138" ht="34.200000000000003" customHeight="1" x14ac:dyDescent="0.3"/>
    <row r="140" ht="45.6" customHeight="1" x14ac:dyDescent="0.3"/>
    <row r="141" ht="22.8" customHeight="1" x14ac:dyDescent="0.3"/>
    <row r="142" ht="22.8" customHeight="1" x14ac:dyDescent="0.3"/>
    <row r="143" ht="34.200000000000003" customHeight="1" x14ac:dyDescent="0.3"/>
    <row r="145" ht="22.8" customHeight="1" x14ac:dyDescent="0.3"/>
    <row r="146" ht="34.200000000000003" customHeight="1" x14ac:dyDescent="0.3"/>
    <row r="147" ht="57" customHeight="1" x14ac:dyDescent="0.3"/>
    <row r="149" ht="34.200000000000003" customHeight="1" x14ac:dyDescent="0.3"/>
    <row r="150" ht="22.8" customHeight="1" x14ac:dyDescent="0.3"/>
    <row r="151" ht="45.6" customHeight="1" x14ac:dyDescent="0.3"/>
    <row r="152" ht="22.8" customHeight="1" x14ac:dyDescent="0.3"/>
    <row r="153" ht="22.8" customHeight="1" x14ac:dyDescent="0.3"/>
    <row r="154" ht="22.8" customHeight="1" x14ac:dyDescent="0.3"/>
    <row r="157" ht="22.8" customHeight="1" x14ac:dyDescent="0.3"/>
    <row r="158" ht="34.200000000000003" customHeight="1" x14ac:dyDescent="0.3"/>
    <row r="159" ht="34.200000000000003" customHeight="1" x14ac:dyDescent="0.3"/>
    <row r="160" ht="34.200000000000003" customHeight="1" x14ac:dyDescent="0.3"/>
    <row r="161" ht="22.8" customHeight="1" x14ac:dyDescent="0.3"/>
    <row r="162" ht="45.6" customHeight="1" x14ac:dyDescent="0.3"/>
    <row r="163" ht="45.6" customHeight="1" x14ac:dyDescent="0.3"/>
    <row r="165" ht="22.8" customHeight="1" x14ac:dyDescent="0.3"/>
    <row r="166" ht="22.8" customHeight="1" x14ac:dyDescent="0.3"/>
    <row r="167" ht="34.200000000000003" customHeight="1" x14ac:dyDescent="0.3"/>
    <row r="168" ht="57" customHeight="1" x14ac:dyDescent="0.3"/>
    <row r="169" ht="22.8" customHeight="1" x14ac:dyDescent="0.3"/>
    <row r="170" ht="68.400000000000006" customHeight="1" x14ac:dyDescent="0.3"/>
    <row r="171" ht="34.200000000000003" customHeight="1" x14ac:dyDescent="0.3"/>
    <row r="172" ht="22.8" customHeight="1" x14ac:dyDescent="0.3"/>
    <row r="173" ht="22.8" customHeight="1" x14ac:dyDescent="0.3"/>
    <row r="174" ht="34.200000000000003" customHeight="1" x14ac:dyDescent="0.3"/>
    <row r="175" ht="22.8" customHeight="1" x14ac:dyDescent="0.3"/>
    <row r="176" ht="22.8" customHeight="1" x14ac:dyDescent="0.3"/>
    <row r="177" ht="34.200000000000003" customHeight="1" x14ac:dyDescent="0.3"/>
    <row r="178" ht="22.8" customHeight="1" x14ac:dyDescent="0.3"/>
    <row r="179" ht="57" customHeight="1" x14ac:dyDescent="0.3"/>
    <row r="180" ht="22.8" customHeight="1" x14ac:dyDescent="0.3"/>
    <row r="181" ht="22.8" customHeight="1" x14ac:dyDescent="0.3"/>
    <row r="182" ht="22.8" customHeight="1" x14ac:dyDescent="0.3"/>
    <row r="183" ht="22.8" customHeight="1" x14ac:dyDescent="0.3"/>
    <row r="184" ht="68.400000000000006" customHeight="1" x14ac:dyDescent="0.3"/>
    <row r="185" ht="57" customHeight="1" x14ac:dyDescent="0.3"/>
    <row r="186" ht="22.8" customHeight="1" x14ac:dyDescent="0.3"/>
    <row r="187" ht="45.6" customHeight="1" x14ac:dyDescent="0.3"/>
    <row r="188" ht="34.200000000000003" customHeight="1" x14ac:dyDescent="0.3"/>
    <row r="189" ht="22.8" customHeight="1" x14ac:dyDescent="0.3"/>
    <row r="190" ht="22.8" customHeight="1" x14ac:dyDescent="0.3"/>
    <row r="191" ht="45.6" customHeight="1" x14ac:dyDescent="0.3"/>
    <row r="192" ht="22.8" customHeight="1" x14ac:dyDescent="0.3"/>
    <row r="193" ht="22.8" customHeight="1" x14ac:dyDescent="0.3"/>
    <row r="194" ht="45.6" customHeight="1" x14ac:dyDescent="0.3"/>
    <row r="195" ht="34.200000000000003" customHeight="1" x14ac:dyDescent="0.3"/>
    <row r="196" ht="22.8" customHeight="1" x14ac:dyDescent="0.3"/>
    <row r="198" ht="22.8" customHeight="1" x14ac:dyDescent="0.3"/>
    <row r="199" ht="22.8" customHeight="1" x14ac:dyDescent="0.3"/>
    <row r="200" ht="34.200000000000003" customHeight="1" x14ac:dyDescent="0.3"/>
    <row r="201" ht="34.200000000000003" customHeight="1" x14ac:dyDescent="0.3"/>
    <row r="202" ht="45.6" customHeight="1" x14ac:dyDescent="0.3"/>
    <row r="204" ht="34.200000000000003" customHeight="1" x14ac:dyDescent="0.3"/>
    <row r="205" ht="22.8" customHeight="1" x14ac:dyDescent="0.3"/>
    <row r="206" ht="57" customHeight="1" x14ac:dyDescent="0.3"/>
    <row r="207" ht="45.6" customHeight="1" x14ac:dyDescent="0.3"/>
    <row r="208" ht="45.6" customHeight="1" x14ac:dyDescent="0.3"/>
    <row r="209" ht="34.200000000000003" customHeight="1" x14ac:dyDescent="0.3"/>
    <row r="210" ht="22.8" customHeight="1" x14ac:dyDescent="0.3"/>
    <row r="211" ht="22.8" customHeight="1" x14ac:dyDescent="0.3"/>
    <row r="212" ht="34.200000000000003" customHeight="1" x14ac:dyDescent="0.3"/>
    <row r="213" ht="34.200000000000003" customHeight="1" x14ac:dyDescent="0.3"/>
    <row r="214" ht="45.6" customHeight="1" x14ac:dyDescent="0.3"/>
    <row r="215" ht="34.200000000000003" customHeight="1" x14ac:dyDescent="0.3"/>
    <row r="216" ht="57" customHeight="1" x14ac:dyDescent="0.3"/>
    <row r="217" ht="22.8" customHeight="1" x14ac:dyDescent="0.3"/>
    <row r="218" ht="22.8" customHeight="1" x14ac:dyDescent="0.3"/>
    <row r="219" ht="22.8" customHeight="1" x14ac:dyDescent="0.3"/>
    <row r="220" ht="45.6" customHeight="1" x14ac:dyDescent="0.3"/>
    <row r="221" ht="34.200000000000003" customHeight="1" x14ac:dyDescent="0.3"/>
    <row r="222" ht="22.8" customHeight="1" x14ac:dyDescent="0.3"/>
    <row r="223" ht="22.8" customHeight="1" x14ac:dyDescent="0.3"/>
    <row r="224" ht="22.8" customHeight="1" x14ac:dyDescent="0.3"/>
    <row r="225" ht="22.8" customHeight="1" x14ac:dyDescent="0.3"/>
    <row r="226" ht="34.200000000000003" customHeight="1" x14ac:dyDescent="0.3"/>
    <row r="227" ht="34.200000000000003" customHeight="1" x14ac:dyDescent="0.3"/>
    <row r="228" ht="57" customHeight="1" x14ac:dyDescent="0.3"/>
    <row r="229" ht="22.8" customHeight="1" x14ac:dyDescent="0.3"/>
    <row r="230" ht="22.8" customHeight="1" x14ac:dyDescent="0.3"/>
    <row r="231" ht="22.8" customHeight="1" x14ac:dyDescent="0.3"/>
    <row r="233" ht="22.8" customHeight="1" x14ac:dyDescent="0.3"/>
    <row r="234" ht="22.8" customHeight="1" x14ac:dyDescent="0.3"/>
    <row r="235" ht="22.8" customHeight="1" x14ac:dyDescent="0.3"/>
    <row r="236" ht="22.8" customHeight="1" x14ac:dyDescent="0.3"/>
    <row r="237" ht="22.8" customHeight="1" x14ac:dyDescent="0.3"/>
    <row r="238" ht="34.200000000000003" customHeight="1" x14ac:dyDescent="0.3"/>
    <row r="239" ht="22.8" customHeight="1" x14ac:dyDescent="0.3"/>
    <row r="240" ht="57" customHeight="1" x14ac:dyDescent="0.3"/>
    <row r="241" ht="22.8" customHeight="1" x14ac:dyDescent="0.3"/>
    <row r="242" ht="57" customHeight="1" x14ac:dyDescent="0.3"/>
    <row r="243" ht="22.8" customHeight="1" x14ac:dyDescent="0.3"/>
    <row r="244" ht="22.8" customHeight="1" x14ac:dyDescent="0.3"/>
    <row r="245" ht="45.6" customHeight="1" x14ac:dyDescent="0.3"/>
    <row r="246" ht="22.8" customHeight="1" x14ac:dyDescent="0.3"/>
    <row r="247" ht="34.200000000000003" customHeight="1" x14ac:dyDescent="0.3"/>
    <row r="248" ht="22.8" customHeight="1" x14ac:dyDescent="0.3"/>
    <row r="249" ht="34.200000000000003" customHeight="1" x14ac:dyDescent="0.3"/>
    <row r="250" ht="34.200000000000003" customHeight="1" x14ac:dyDescent="0.3"/>
    <row r="251" ht="22.8" customHeight="1" x14ac:dyDescent="0.3"/>
    <row r="252" ht="45.6" customHeight="1" x14ac:dyDescent="0.3"/>
    <row r="253" ht="57" customHeight="1" x14ac:dyDescent="0.3"/>
    <row r="254" ht="45.6" customHeight="1" x14ac:dyDescent="0.3"/>
    <row r="255" ht="34.200000000000003" customHeight="1" x14ac:dyDescent="0.3"/>
    <row r="256" ht="22.8" customHeight="1" x14ac:dyDescent="0.3"/>
    <row r="257" ht="22.8" customHeight="1" x14ac:dyDescent="0.3"/>
    <row r="258" ht="22.8" customHeight="1" x14ac:dyDescent="0.3"/>
    <row r="259" ht="22.8" customHeight="1" x14ac:dyDescent="0.3"/>
    <row r="261" ht="57" customHeight="1" x14ac:dyDescent="0.3"/>
    <row r="262" ht="34.200000000000003" customHeight="1" x14ac:dyDescent="0.3"/>
    <row r="263" ht="34.200000000000003" customHeight="1" x14ac:dyDescent="0.3"/>
    <row r="264" ht="34.200000000000003" customHeight="1" x14ac:dyDescent="0.3"/>
    <row r="265" ht="22.8" customHeight="1" x14ac:dyDescent="0.3"/>
    <row r="266" ht="22.8" customHeight="1" x14ac:dyDescent="0.3"/>
    <row r="267" ht="34.200000000000003" customHeight="1" x14ac:dyDescent="0.3"/>
    <row r="268" ht="22.8" customHeight="1" x14ac:dyDescent="0.3"/>
    <row r="269" ht="45.6" customHeight="1" x14ac:dyDescent="0.3"/>
    <row r="273" ht="57" customHeight="1" x14ac:dyDescent="0.3"/>
    <row r="274" ht="22.8" customHeight="1" x14ac:dyDescent="0.3"/>
    <row r="275" ht="22.8" customHeight="1" x14ac:dyDescent="0.3"/>
    <row r="276" ht="45.6" customHeight="1" x14ac:dyDescent="0.3"/>
    <row r="277" ht="34.200000000000003" customHeight="1" x14ac:dyDescent="0.3"/>
    <row r="278" ht="68.400000000000006" customHeight="1" x14ac:dyDescent="0.3"/>
    <row r="279" ht="34.200000000000003" customHeight="1" x14ac:dyDescent="0.3"/>
    <row r="281" ht="102.6" customHeight="1" x14ac:dyDescent="0.3"/>
    <row r="282" ht="34.200000000000003" customHeight="1" x14ac:dyDescent="0.3"/>
    <row r="283" ht="68.400000000000006" customHeight="1" x14ac:dyDescent="0.3"/>
    <row r="284" ht="22.8" customHeight="1" x14ac:dyDescent="0.3"/>
    <row r="285" ht="34.200000000000003" customHeight="1" x14ac:dyDescent="0.3"/>
    <row r="286" ht="22.8" customHeight="1" x14ac:dyDescent="0.3"/>
    <row r="287" ht="22.8" customHeight="1" x14ac:dyDescent="0.3"/>
    <row r="288" ht="34.200000000000003" customHeight="1" x14ac:dyDescent="0.3"/>
    <row r="289" ht="22.8" customHeight="1" x14ac:dyDescent="0.3"/>
    <row r="290" ht="22.8" customHeight="1" x14ac:dyDescent="0.3"/>
    <row r="291" ht="22.8" customHeight="1" x14ac:dyDescent="0.3"/>
    <row r="292" ht="34.200000000000003" customHeight="1" x14ac:dyDescent="0.3"/>
    <row r="293" ht="34.200000000000003" customHeight="1" x14ac:dyDescent="0.3"/>
    <row r="294" ht="57" customHeight="1" x14ac:dyDescent="0.3"/>
    <row r="295" ht="34.200000000000003" customHeight="1" x14ac:dyDescent="0.3"/>
    <row r="296" ht="22.8" customHeight="1" x14ac:dyDescent="0.3"/>
    <row r="297" ht="22.8" customHeight="1" x14ac:dyDescent="0.3"/>
    <row r="298" ht="22.8" customHeight="1" x14ac:dyDescent="0.3"/>
    <row r="299" ht="34.200000000000003" customHeight="1" x14ac:dyDescent="0.3"/>
    <row r="300" ht="22.8" customHeight="1" x14ac:dyDescent="0.3"/>
    <row r="301" ht="22.8" customHeight="1" x14ac:dyDescent="0.3"/>
    <row r="302" ht="22.8" customHeight="1" x14ac:dyDescent="0.3"/>
    <row r="303" ht="34.200000000000003" customHeight="1" x14ac:dyDescent="0.3"/>
    <row r="304" ht="34.200000000000003" customHeight="1" x14ac:dyDescent="0.3"/>
    <row r="305" ht="22.8" customHeight="1" x14ac:dyDescent="0.3"/>
    <row r="306" ht="34.200000000000003" customHeight="1" x14ac:dyDescent="0.3"/>
    <row r="307" ht="22.8" customHeight="1" x14ac:dyDescent="0.3"/>
    <row r="308" ht="22.8" customHeight="1" x14ac:dyDescent="0.3"/>
    <row r="309" ht="34.200000000000003" customHeight="1" x14ac:dyDescent="0.3"/>
    <row r="310" ht="22.8" customHeight="1" x14ac:dyDescent="0.3"/>
    <row r="311" ht="22.8" customHeight="1" x14ac:dyDescent="0.3"/>
    <row r="312" ht="22.8" customHeight="1" x14ac:dyDescent="0.3"/>
    <row r="313" ht="68.400000000000006" customHeight="1" x14ac:dyDescent="0.3"/>
    <row r="314" ht="22.8" customHeight="1" x14ac:dyDescent="0.3"/>
    <row r="315" ht="34.200000000000003" customHeight="1" x14ac:dyDescent="0.3"/>
    <row r="316" ht="22.8" customHeight="1" x14ac:dyDescent="0.3"/>
    <row r="317" ht="45.6" customHeight="1" x14ac:dyDescent="0.3"/>
    <row r="319" ht="34.200000000000003" customHeight="1" x14ac:dyDescent="0.3"/>
    <row r="320" ht="34.200000000000003" customHeight="1" x14ac:dyDescent="0.3"/>
    <row r="321" ht="34.200000000000003" customHeight="1" x14ac:dyDescent="0.3"/>
    <row r="322" ht="22.8" customHeight="1" x14ac:dyDescent="0.3"/>
    <row r="323" ht="22.8" customHeight="1" x14ac:dyDescent="0.3"/>
    <row r="324" ht="22.8" customHeight="1" x14ac:dyDescent="0.3"/>
    <row r="325" ht="22.8" customHeight="1" x14ac:dyDescent="0.3"/>
    <row r="326" ht="22.8" customHeight="1" x14ac:dyDescent="0.3"/>
    <row r="327" ht="22.8" customHeight="1" x14ac:dyDescent="0.3"/>
    <row r="328" ht="79.8" customHeight="1" x14ac:dyDescent="0.3"/>
    <row r="330" ht="22.8" customHeight="1" x14ac:dyDescent="0.3"/>
    <row r="331" ht="22.8" customHeight="1" x14ac:dyDescent="0.3"/>
    <row r="332" ht="22.8" customHeight="1" x14ac:dyDescent="0.3"/>
    <row r="333" ht="22.8" customHeight="1" x14ac:dyDescent="0.3"/>
    <row r="334" ht="22.8" customHeight="1" x14ac:dyDescent="0.3"/>
    <row r="335" ht="34.200000000000003" customHeight="1" x14ac:dyDescent="0.3"/>
    <row r="336" ht="34.200000000000003" customHeight="1" x14ac:dyDescent="0.3"/>
    <row r="337" ht="45.6" customHeight="1" x14ac:dyDescent="0.3"/>
    <row r="338" ht="22.8" customHeight="1" x14ac:dyDescent="0.3"/>
    <row r="339" ht="22.8" customHeight="1" x14ac:dyDescent="0.3"/>
    <row r="340" ht="22.8" customHeight="1" x14ac:dyDescent="0.3"/>
    <row r="341" ht="22.8" customHeight="1" x14ac:dyDescent="0.3"/>
    <row r="343" ht="22.8" customHeight="1" x14ac:dyDescent="0.3"/>
    <row r="344" ht="34.200000000000003" customHeight="1" x14ac:dyDescent="0.3"/>
    <row r="345" ht="22.8" customHeight="1" x14ac:dyDescent="0.3"/>
    <row r="347" ht="22.8" customHeight="1" x14ac:dyDescent="0.3"/>
    <row r="348" ht="34.200000000000003" customHeight="1" x14ac:dyDescent="0.3"/>
    <row r="349" ht="34.200000000000003" customHeight="1" x14ac:dyDescent="0.3"/>
    <row r="350" ht="45.6" customHeight="1" x14ac:dyDescent="0.3"/>
    <row r="351" ht="34.200000000000003" customHeight="1" x14ac:dyDescent="0.3"/>
    <row r="352" ht="22.8" customHeight="1" x14ac:dyDescent="0.3"/>
    <row r="353" ht="22.8" customHeight="1" x14ac:dyDescent="0.3"/>
    <row r="354" ht="22.8" customHeight="1" x14ac:dyDescent="0.3"/>
    <row r="355" ht="22.8" customHeight="1" x14ac:dyDescent="0.3"/>
    <row r="356" ht="22.8" customHeight="1" x14ac:dyDescent="0.3"/>
    <row r="359" ht="45.6" customHeight="1" x14ac:dyDescent="0.3"/>
    <row r="360" ht="22.8" customHeight="1" x14ac:dyDescent="0.3"/>
    <row r="361" ht="22.8" customHeight="1" x14ac:dyDescent="0.3"/>
    <row r="362" ht="45.6" customHeight="1" x14ac:dyDescent="0.3"/>
    <row r="363" ht="22.8" customHeight="1" x14ac:dyDescent="0.3"/>
    <row r="364" ht="22.8" customHeight="1" x14ac:dyDescent="0.3"/>
    <row r="365" ht="57" customHeight="1" x14ac:dyDescent="0.3"/>
    <row r="366" ht="22.8" customHeight="1" x14ac:dyDescent="0.3"/>
    <row r="367" ht="22.8" customHeight="1" x14ac:dyDescent="0.3"/>
    <row r="368" ht="22.8" customHeight="1" x14ac:dyDescent="0.3"/>
    <row r="369" ht="22.8" customHeight="1" x14ac:dyDescent="0.3"/>
    <row r="370" ht="45.6" customHeight="1" x14ac:dyDescent="0.3"/>
    <row r="371" ht="22.8" customHeight="1" x14ac:dyDescent="0.3"/>
    <row r="372" ht="22.8" customHeight="1" x14ac:dyDescent="0.3"/>
    <row r="374" ht="22.8" customHeight="1" x14ac:dyDescent="0.3"/>
    <row r="375" ht="34.200000000000003" customHeight="1" x14ac:dyDescent="0.3"/>
    <row r="376" ht="45.6" customHeight="1" x14ac:dyDescent="0.3"/>
    <row r="377" ht="68.400000000000006" customHeight="1" x14ac:dyDescent="0.3"/>
    <row r="378" ht="22.8" customHeight="1" x14ac:dyDescent="0.3"/>
    <row r="379" ht="22.8" customHeight="1" x14ac:dyDescent="0.3"/>
    <row r="380" ht="34.200000000000003" customHeight="1" x14ac:dyDescent="0.3"/>
    <row r="381" ht="22.8" customHeight="1" x14ac:dyDescent="0.3"/>
    <row r="382" ht="22.8" customHeight="1" x14ac:dyDescent="0.3"/>
    <row r="383" ht="22.8" customHeight="1" x14ac:dyDescent="0.3"/>
    <row r="384" ht="22.8" customHeight="1" x14ac:dyDescent="0.3"/>
    <row r="385" ht="22.8" customHeight="1" x14ac:dyDescent="0.3"/>
    <row r="386" ht="22.8" customHeight="1" x14ac:dyDescent="0.3"/>
    <row r="387" ht="22.8" customHeight="1" x14ac:dyDescent="0.3"/>
    <row r="388" ht="22.8" customHeight="1" x14ac:dyDescent="0.3"/>
    <row r="389" ht="22.8" customHeight="1" x14ac:dyDescent="0.3"/>
    <row r="390" ht="22.8" customHeight="1" x14ac:dyDescent="0.3"/>
    <row r="391" ht="45.6" customHeight="1" x14ac:dyDescent="0.3"/>
    <row r="392" ht="57" customHeight="1" x14ac:dyDescent="0.3"/>
    <row r="393" ht="34.200000000000003" customHeight="1" x14ac:dyDescent="0.3"/>
    <row r="394" ht="45.6" customHeight="1" x14ac:dyDescent="0.3"/>
    <row r="396" ht="22.8" customHeight="1" x14ac:dyDescent="0.3"/>
    <row r="397" ht="22.8" customHeight="1" x14ac:dyDescent="0.3"/>
    <row r="398" ht="22.8" customHeight="1" x14ac:dyDescent="0.3"/>
    <row r="399" ht="34.200000000000003" customHeight="1" x14ac:dyDescent="0.3"/>
    <row r="400" ht="22.8" customHeight="1" x14ac:dyDescent="0.3"/>
    <row r="401" ht="22.8" customHeight="1" x14ac:dyDescent="0.3"/>
    <row r="402" ht="34.200000000000003" customHeight="1" x14ac:dyDescent="0.3"/>
    <row r="403" ht="22.8" customHeight="1" x14ac:dyDescent="0.3"/>
    <row r="404" ht="22.8" customHeight="1" x14ac:dyDescent="0.3"/>
    <row r="405" ht="34.200000000000003" customHeight="1" x14ac:dyDescent="0.3"/>
    <row r="406" ht="45.6" customHeight="1" x14ac:dyDescent="0.3"/>
    <row r="407" ht="22.8" customHeight="1" x14ac:dyDescent="0.3"/>
    <row r="408" ht="34.200000000000003" customHeight="1" x14ac:dyDescent="0.3"/>
    <row r="409" ht="22.8" customHeight="1" x14ac:dyDescent="0.3"/>
    <row r="410" ht="22.8" customHeight="1" x14ac:dyDescent="0.3"/>
    <row r="411" ht="34.200000000000003" customHeight="1" x14ac:dyDescent="0.3"/>
    <row r="412" ht="22.8" customHeight="1" x14ac:dyDescent="0.3"/>
    <row r="414" ht="22.8" customHeight="1" x14ac:dyDescent="0.3"/>
    <row r="415" ht="22.8" customHeight="1" x14ac:dyDescent="0.3"/>
    <row r="416" ht="22.8" customHeight="1" x14ac:dyDescent="0.3"/>
    <row r="417" ht="57" customHeight="1" x14ac:dyDescent="0.3"/>
    <row r="419" ht="68.400000000000006" customHeight="1" x14ac:dyDescent="0.3"/>
    <row r="420" ht="34.200000000000003" customHeight="1" x14ac:dyDescent="0.3"/>
    <row r="422" ht="68.400000000000006" customHeight="1" x14ac:dyDescent="0.3"/>
    <row r="423" ht="45.6" customHeight="1" x14ac:dyDescent="0.3"/>
    <row r="424" ht="45.6" customHeight="1" x14ac:dyDescent="0.3"/>
    <row r="425" ht="34.200000000000003" customHeight="1" x14ac:dyDescent="0.3"/>
    <row r="426" ht="22.8" customHeight="1" x14ac:dyDescent="0.3"/>
    <row r="427" ht="34.200000000000003" customHeight="1" x14ac:dyDescent="0.3"/>
    <row r="428" ht="45.6" customHeight="1" x14ac:dyDescent="0.3"/>
    <row r="429" ht="22.8" customHeight="1" x14ac:dyDescent="0.3"/>
    <row r="430" ht="45.6" customHeight="1" x14ac:dyDescent="0.3"/>
    <row r="431" ht="34.200000000000003" customHeight="1" x14ac:dyDescent="0.3"/>
    <row r="432" ht="22.8" customHeight="1" x14ac:dyDescent="0.3"/>
    <row r="433" ht="22.8" customHeight="1" x14ac:dyDescent="0.3"/>
    <row r="434" ht="22.8" customHeight="1" x14ac:dyDescent="0.3"/>
    <row r="435" ht="22.8" customHeight="1" x14ac:dyDescent="0.3"/>
    <row r="436" ht="22.8" customHeight="1" x14ac:dyDescent="0.3"/>
    <row r="438" ht="34.200000000000003" customHeight="1" x14ac:dyDescent="0.3"/>
    <row r="439" ht="34.200000000000003" customHeight="1" x14ac:dyDescent="0.3"/>
    <row r="440" ht="22.8" customHeight="1" x14ac:dyDescent="0.3"/>
    <row r="441" ht="68.400000000000006" customHeight="1" x14ac:dyDescent="0.3"/>
    <row r="442" ht="45.6" customHeight="1" x14ac:dyDescent="0.3"/>
    <row r="443" ht="22.8" customHeight="1" x14ac:dyDescent="0.3"/>
    <row r="444" ht="45.6" customHeight="1" x14ac:dyDescent="0.3"/>
    <row r="445" ht="34.200000000000003" customHeight="1" x14ac:dyDescent="0.3"/>
    <row r="446" ht="45.6" customHeight="1" x14ac:dyDescent="0.3"/>
    <row r="447" ht="34.200000000000003" customHeight="1" x14ac:dyDescent="0.3"/>
    <row r="448" ht="34.200000000000003" customHeight="1" x14ac:dyDescent="0.3"/>
    <row r="449" ht="45.6" customHeight="1" x14ac:dyDescent="0.3"/>
    <row r="451" ht="34.200000000000003" customHeight="1" x14ac:dyDescent="0.3"/>
    <row r="452" ht="22.8" customHeight="1" x14ac:dyDescent="0.3"/>
    <row r="453" ht="22.8" customHeight="1" x14ac:dyDescent="0.3"/>
    <row r="454" ht="22.8" customHeight="1" x14ac:dyDescent="0.3"/>
    <row r="455" ht="68.400000000000006" customHeight="1" x14ac:dyDescent="0.3"/>
    <row r="456" ht="34.200000000000003" customHeight="1" x14ac:dyDescent="0.3"/>
    <row r="457" ht="22.8" customHeight="1" x14ac:dyDescent="0.3"/>
    <row r="458" ht="22.8" customHeight="1" x14ac:dyDescent="0.3"/>
    <row r="459" ht="57" customHeight="1" x14ac:dyDescent="0.3"/>
    <row r="460" ht="22.8" customHeight="1" x14ac:dyDescent="0.3"/>
    <row r="461" ht="34.200000000000003" customHeight="1" x14ac:dyDescent="0.3"/>
    <row r="463" ht="45.6" customHeight="1" x14ac:dyDescent="0.3"/>
    <row r="465" ht="22.8" customHeight="1" x14ac:dyDescent="0.3"/>
    <row r="466" ht="34.200000000000003" customHeight="1" x14ac:dyDescent="0.3"/>
    <row r="467" ht="34.200000000000003" customHeight="1" x14ac:dyDescent="0.3"/>
    <row r="468" ht="22.8" customHeight="1" x14ac:dyDescent="0.3"/>
    <row r="469" ht="34.200000000000003" customHeight="1" x14ac:dyDescent="0.3"/>
    <row r="470" ht="45.6" customHeight="1" x14ac:dyDescent="0.3"/>
    <row r="472" ht="22.8" customHeight="1" x14ac:dyDescent="0.3"/>
    <row r="473" ht="34.200000000000003" customHeight="1" x14ac:dyDescent="0.3"/>
    <row r="474" ht="34.200000000000003" customHeight="1" x14ac:dyDescent="0.3"/>
    <row r="475" ht="34.200000000000003" customHeight="1" x14ac:dyDescent="0.3"/>
    <row r="476" ht="22.8" customHeight="1" x14ac:dyDescent="0.3"/>
    <row r="477" ht="34.200000000000003" customHeight="1" x14ac:dyDescent="0.3"/>
    <row r="478" ht="22.8" customHeight="1" x14ac:dyDescent="0.3"/>
    <row r="479" ht="34.200000000000003" customHeight="1" x14ac:dyDescent="0.3"/>
    <row r="480" ht="22.8" customHeight="1" x14ac:dyDescent="0.3"/>
    <row r="481" ht="22.8" customHeight="1" x14ac:dyDescent="0.3"/>
    <row r="482" ht="34.200000000000003" customHeight="1" x14ac:dyDescent="0.3"/>
    <row r="483" ht="57" customHeight="1" x14ac:dyDescent="0.3"/>
    <row r="484" ht="22.8" customHeight="1" x14ac:dyDescent="0.3"/>
    <row r="485" ht="22.8" customHeight="1" x14ac:dyDescent="0.3"/>
    <row r="486" ht="22.8" customHeight="1" x14ac:dyDescent="0.3"/>
    <row r="487" ht="22.8" customHeight="1" x14ac:dyDescent="0.3"/>
    <row r="489" ht="45.6" customHeight="1" x14ac:dyDescent="0.3"/>
    <row r="491" ht="34.200000000000003" customHeight="1" x14ac:dyDescent="0.3"/>
    <row r="493" ht="34.200000000000003" customHeight="1" x14ac:dyDescent="0.3"/>
    <row r="494" ht="34.200000000000003" customHeight="1" x14ac:dyDescent="0.3"/>
    <row r="495" ht="34.200000000000003" customHeight="1" x14ac:dyDescent="0.3"/>
    <row r="496" ht="22.8" customHeight="1" x14ac:dyDescent="0.3"/>
    <row r="497" ht="22.8" customHeight="1" x14ac:dyDescent="0.3"/>
    <row r="498" ht="34.200000000000003" customHeight="1" x14ac:dyDescent="0.3"/>
    <row r="499" ht="22.8" customHeight="1" x14ac:dyDescent="0.3"/>
    <row r="500" ht="45.6" customHeight="1" x14ac:dyDescent="0.3"/>
    <row r="501" ht="22.8" customHeight="1" x14ac:dyDescent="0.3"/>
    <row r="502" ht="22.8" customHeight="1" x14ac:dyDescent="0.3"/>
    <row r="503" ht="22.8" customHeight="1" x14ac:dyDescent="0.3"/>
    <row r="504" ht="22.8" customHeight="1" x14ac:dyDescent="0.3"/>
    <row r="505" ht="22.8" customHeight="1" x14ac:dyDescent="0.3"/>
    <row r="506" ht="34.200000000000003" customHeight="1" x14ac:dyDescent="0.3"/>
    <row r="507" ht="22.8" customHeight="1" x14ac:dyDescent="0.3"/>
    <row r="508" ht="22.8" customHeight="1" x14ac:dyDescent="0.3"/>
    <row r="509" ht="22.8" customHeight="1" x14ac:dyDescent="0.3"/>
    <row r="510" ht="34.200000000000003" customHeight="1" x14ac:dyDescent="0.3"/>
    <row r="511" ht="22.8" customHeight="1" x14ac:dyDescent="0.3"/>
    <row r="512" ht="57" customHeight="1" x14ac:dyDescent="0.3"/>
    <row r="513" ht="22.8" customHeight="1" x14ac:dyDescent="0.3"/>
    <row r="515" ht="22.8" customHeight="1" x14ac:dyDescent="0.3"/>
    <row r="516" ht="57" customHeight="1" x14ac:dyDescent="0.3"/>
    <row r="517" ht="22.8" customHeight="1" x14ac:dyDescent="0.3"/>
    <row r="518" ht="22.8" customHeight="1" x14ac:dyDescent="0.3"/>
    <row r="519" ht="34.200000000000003" customHeight="1" x14ac:dyDescent="0.3"/>
    <row r="520" ht="45.6" customHeight="1" x14ac:dyDescent="0.3"/>
    <row r="521" ht="45.6" customHeight="1" x14ac:dyDescent="0.3"/>
    <row r="522" ht="22.8" customHeight="1" x14ac:dyDescent="0.3"/>
    <row r="523" ht="22.8" customHeight="1" x14ac:dyDescent="0.3"/>
    <row r="524" ht="34.200000000000003" customHeight="1" x14ac:dyDescent="0.3"/>
    <row r="525" ht="34.200000000000003" customHeight="1" x14ac:dyDescent="0.3"/>
    <row r="526" ht="22.8" customHeight="1" x14ac:dyDescent="0.3"/>
    <row r="527" ht="22.8" customHeight="1" x14ac:dyDescent="0.3"/>
    <row r="528" ht="34.200000000000003" customHeight="1" x14ac:dyDescent="0.3"/>
    <row r="529" ht="45.6" customHeight="1" x14ac:dyDescent="0.3"/>
    <row r="530" ht="45.6" customHeight="1" x14ac:dyDescent="0.3"/>
    <row r="531" ht="34.200000000000003" customHeight="1" x14ac:dyDescent="0.3"/>
    <row r="532" ht="22.8" customHeight="1" x14ac:dyDescent="0.3"/>
    <row r="534" ht="22.8" customHeight="1" x14ac:dyDescent="0.3"/>
    <row r="535" ht="34.200000000000003" customHeight="1" x14ac:dyDescent="0.3"/>
    <row r="536" ht="45.6" customHeight="1" x14ac:dyDescent="0.3"/>
    <row r="537" ht="22.8" customHeight="1" x14ac:dyDescent="0.3"/>
    <row r="538" ht="22.8" customHeight="1" x14ac:dyDescent="0.3"/>
    <row r="541" ht="22.8" customHeight="1" x14ac:dyDescent="0.3"/>
    <row r="542" ht="34.200000000000003" customHeight="1" x14ac:dyDescent="0.3"/>
    <row r="543" ht="22.8" customHeight="1" x14ac:dyDescent="0.3"/>
    <row r="544" ht="22.8" customHeight="1" x14ac:dyDescent="0.3"/>
    <row r="545" ht="22.8" customHeight="1" x14ac:dyDescent="0.3"/>
    <row r="546" ht="22.8" customHeight="1" x14ac:dyDescent="0.3"/>
    <row r="547" ht="22.8" customHeight="1" x14ac:dyDescent="0.3"/>
    <row r="548" ht="34.200000000000003" customHeight="1" x14ac:dyDescent="0.3"/>
    <row r="549" ht="22.8" customHeight="1" x14ac:dyDescent="0.3"/>
    <row r="550" ht="22.8" customHeight="1" x14ac:dyDescent="0.3"/>
    <row r="551" ht="22.8" customHeight="1" x14ac:dyDescent="0.3"/>
    <row r="552" ht="22.8" customHeight="1" x14ac:dyDescent="0.3"/>
    <row r="553" ht="22.8" customHeight="1" x14ac:dyDescent="0.3"/>
    <row r="554" ht="34.200000000000003" customHeight="1" x14ac:dyDescent="0.3"/>
    <row r="555" ht="22.8" customHeight="1" x14ac:dyDescent="0.3"/>
    <row r="556" ht="45.6" customHeight="1" x14ac:dyDescent="0.3"/>
    <row r="557" ht="22.8" customHeight="1" x14ac:dyDescent="0.3"/>
    <row r="558" ht="22.8" customHeight="1" x14ac:dyDescent="0.3"/>
    <row r="560" ht="34.200000000000003" customHeight="1" x14ac:dyDescent="0.3"/>
    <row r="561" ht="34.200000000000003" customHeight="1" x14ac:dyDescent="0.3"/>
    <row r="562" ht="22.8" customHeight="1" x14ac:dyDescent="0.3"/>
    <row r="564" ht="34.200000000000003" customHeight="1" x14ac:dyDescent="0.3"/>
    <row r="565" ht="22.8" customHeight="1" x14ac:dyDescent="0.3"/>
    <row r="566" ht="34.200000000000003" customHeight="1" x14ac:dyDescent="0.3"/>
    <row r="567" ht="34.200000000000003" customHeight="1" x14ac:dyDescent="0.3"/>
    <row r="568" ht="22.8" customHeight="1" x14ac:dyDescent="0.3"/>
    <row r="569" ht="34.200000000000003" customHeight="1" x14ac:dyDescent="0.3"/>
    <row r="570" ht="57" customHeight="1" x14ac:dyDescent="0.3"/>
    <row r="571" ht="22.8" customHeight="1" x14ac:dyDescent="0.3"/>
    <row r="572" ht="22.8" customHeight="1" x14ac:dyDescent="0.3"/>
    <row r="574" ht="22.8" customHeight="1" x14ac:dyDescent="0.3"/>
    <row r="575" ht="22.8" customHeight="1" x14ac:dyDescent="0.3"/>
    <row r="576" ht="22.8" customHeight="1" x14ac:dyDescent="0.3"/>
    <row r="577" ht="34.200000000000003" customHeight="1" x14ac:dyDescent="0.3"/>
    <row r="578" ht="22.8" customHeight="1" x14ac:dyDescent="0.3"/>
    <row r="579" ht="22.8" customHeight="1" x14ac:dyDescent="0.3"/>
    <row r="580" ht="22.8" customHeight="1" x14ac:dyDescent="0.3"/>
    <row r="581" ht="22.8" customHeight="1" x14ac:dyDescent="0.3"/>
    <row r="582" ht="22.8" customHeight="1" x14ac:dyDescent="0.3"/>
    <row r="583" ht="22.8" customHeight="1" x14ac:dyDescent="0.3"/>
    <row r="584" ht="22.8" customHeight="1" x14ac:dyDescent="0.3"/>
    <row r="585" ht="34.200000000000003" customHeight="1" x14ac:dyDescent="0.3"/>
    <row r="587" ht="22.8" customHeight="1" x14ac:dyDescent="0.3"/>
    <row r="588" ht="34.200000000000003" customHeight="1" x14ac:dyDescent="0.3"/>
    <row r="589" ht="22.8" customHeight="1" x14ac:dyDescent="0.3"/>
    <row r="590" ht="22.8" customHeight="1" x14ac:dyDescent="0.3"/>
    <row r="591" ht="22.8" customHeight="1" x14ac:dyDescent="0.3"/>
    <row r="592" ht="45.6" customHeight="1" x14ac:dyDescent="0.3"/>
    <row r="593" ht="22.8" customHeight="1" x14ac:dyDescent="0.3"/>
    <row r="594" ht="22.8" customHeight="1" x14ac:dyDescent="0.3"/>
    <row r="595" ht="22.8" customHeight="1" x14ac:dyDescent="0.3"/>
    <row r="596" ht="22.8" customHeight="1" x14ac:dyDescent="0.3"/>
    <row r="597" ht="22.8" customHeight="1" x14ac:dyDescent="0.3"/>
    <row r="598" ht="34.200000000000003" customHeight="1" x14ac:dyDescent="0.3"/>
    <row r="600" ht="22.8" customHeight="1" x14ac:dyDescent="0.3"/>
    <row r="602" ht="34.200000000000003" customHeight="1" x14ac:dyDescent="0.3"/>
    <row r="603" ht="34.200000000000003" customHeight="1" x14ac:dyDescent="0.3"/>
    <row r="604" ht="22.8" customHeight="1" x14ac:dyDescent="0.3"/>
    <row r="605" ht="34.200000000000003" customHeight="1" x14ac:dyDescent="0.3"/>
    <row r="606" ht="22.8" customHeight="1" x14ac:dyDescent="0.3"/>
    <row r="607" ht="34.200000000000003" customHeight="1" x14ac:dyDescent="0.3"/>
    <row r="608" ht="34.200000000000003" customHeight="1" x14ac:dyDescent="0.3"/>
    <row r="609" ht="22.8" customHeight="1" x14ac:dyDescent="0.3"/>
    <row r="610" ht="34.200000000000003" customHeight="1" x14ac:dyDescent="0.3"/>
    <row r="611" ht="45.6" customHeight="1" x14ac:dyDescent="0.3"/>
    <row r="612" ht="45.6" customHeight="1" x14ac:dyDescent="0.3"/>
    <row r="613" ht="22.8" customHeight="1" x14ac:dyDescent="0.3"/>
    <row r="614" ht="34.200000000000003" customHeight="1" x14ac:dyDescent="0.3"/>
    <row r="615" ht="22.8" customHeight="1" x14ac:dyDescent="0.3"/>
    <row r="616" ht="22.8" customHeight="1" x14ac:dyDescent="0.3"/>
    <row r="617" ht="34.200000000000003" customHeight="1" x14ac:dyDescent="0.3"/>
    <row r="618" ht="34.200000000000003" customHeight="1" x14ac:dyDescent="0.3"/>
    <row r="620" ht="45.6" customHeight="1" x14ac:dyDescent="0.3"/>
    <row r="621" ht="22.8" customHeight="1" x14ac:dyDescent="0.3"/>
    <row r="622" ht="22.8" customHeight="1" x14ac:dyDescent="0.3"/>
    <row r="623" ht="34.200000000000003" customHeight="1" x14ac:dyDescent="0.3"/>
    <row r="624" ht="34.200000000000003" customHeight="1" x14ac:dyDescent="0.3"/>
    <row r="625" ht="34.200000000000003" customHeight="1" x14ac:dyDescent="0.3"/>
    <row r="626" ht="45.6" customHeight="1" x14ac:dyDescent="0.3"/>
    <row r="627" ht="34.200000000000003" customHeight="1" x14ac:dyDescent="0.3"/>
    <row r="628" ht="45.6" customHeight="1" x14ac:dyDescent="0.3"/>
    <row r="629" ht="34.200000000000003" customHeight="1" x14ac:dyDescent="0.3"/>
    <row r="630" ht="22.8" customHeight="1" x14ac:dyDescent="0.3"/>
    <row r="631" ht="34.200000000000003" customHeight="1" x14ac:dyDescent="0.3"/>
    <row r="632" ht="34.200000000000003" customHeight="1" x14ac:dyDescent="0.3"/>
    <row r="633" ht="34.200000000000003" customHeight="1" x14ac:dyDescent="0.3"/>
    <row r="634" ht="22.8" customHeight="1" x14ac:dyDescent="0.3"/>
    <row r="635" ht="22.8" customHeight="1" x14ac:dyDescent="0.3"/>
    <row r="636" ht="22.8" customHeight="1" x14ac:dyDescent="0.3"/>
    <row r="637" ht="22.8" customHeight="1" x14ac:dyDescent="0.3"/>
    <row r="638" ht="34.200000000000003" customHeight="1" x14ac:dyDescent="0.3"/>
    <row r="639" ht="22.8" customHeight="1" x14ac:dyDescent="0.3"/>
    <row r="640" ht="22.8" customHeight="1" x14ac:dyDescent="0.3"/>
    <row r="641" ht="22.8" customHeight="1" x14ac:dyDescent="0.3"/>
    <row r="642" ht="22.8" customHeight="1" x14ac:dyDescent="0.3"/>
    <row r="643" ht="22.8" customHeight="1" x14ac:dyDescent="0.3"/>
    <row r="644" ht="22.8" customHeight="1" x14ac:dyDescent="0.3"/>
    <row r="645" ht="57" customHeight="1" x14ac:dyDescent="0.3"/>
    <row r="646" ht="45.6" customHeight="1" x14ac:dyDescent="0.3"/>
    <row r="647" ht="45.6" customHeight="1" x14ac:dyDescent="0.3"/>
    <row r="648" ht="34.200000000000003" customHeight="1" x14ac:dyDescent="0.3"/>
    <row r="649" ht="22.8" customHeight="1" x14ac:dyDescent="0.3"/>
    <row r="650" ht="34.200000000000003" customHeight="1" x14ac:dyDescent="0.3"/>
    <row r="651" ht="34.200000000000003" customHeight="1" x14ac:dyDescent="0.3"/>
    <row r="652" ht="34.200000000000003" customHeight="1" x14ac:dyDescent="0.3"/>
    <row r="653" ht="22.8" customHeight="1" x14ac:dyDescent="0.3"/>
    <row r="654" ht="22.8" customHeight="1" x14ac:dyDescent="0.3"/>
    <row r="655" ht="57" customHeight="1" x14ac:dyDescent="0.3"/>
    <row r="656" ht="34.200000000000003" customHeight="1" x14ac:dyDescent="0.3"/>
    <row r="657" ht="57" customHeight="1" x14ac:dyDescent="0.3"/>
    <row r="658" ht="45.6" customHeight="1" x14ac:dyDescent="0.3"/>
    <row r="659" ht="22.8" customHeight="1" x14ac:dyDescent="0.3"/>
    <row r="660" ht="45.6" customHeight="1" x14ac:dyDescent="0.3"/>
    <row r="661" ht="34.200000000000003" customHeight="1" x14ac:dyDescent="0.3"/>
    <row r="662" ht="34.200000000000003" customHeight="1" x14ac:dyDescent="0.3"/>
    <row r="663" ht="45.6" customHeight="1" x14ac:dyDescent="0.3"/>
    <row r="664" ht="34.200000000000003" customHeight="1" x14ac:dyDescent="0.3"/>
    <row r="665" ht="22.8" customHeight="1" x14ac:dyDescent="0.3"/>
    <row r="666" ht="22.8" customHeight="1" x14ac:dyDescent="0.3"/>
    <row r="667" ht="34.200000000000003" customHeight="1" x14ac:dyDescent="0.3"/>
    <row r="668" ht="34.200000000000003" customHeight="1" x14ac:dyDescent="0.3"/>
    <row r="669" ht="45.6" customHeight="1" x14ac:dyDescent="0.3"/>
    <row r="670" ht="22.8" customHeight="1" x14ac:dyDescent="0.3"/>
    <row r="671" ht="22.8" customHeight="1" x14ac:dyDescent="0.3"/>
    <row r="672" ht="22.8" customHeight="1" x14ac:dyDescent="0.3"/>
    <row r="673" ht="22.8" customHeight="1" x14ac:dyDescent="0.3"/>
    <row r="674" ht="22.8" customHeight="1" x14ac:dyDescent="0.3"/>
    <row r="675" ht="22.8" customHeight="1" x14ac:dyDescent="0.3"/>
    <row r="676" ht="22.8" customHeight="1" x14ac:dyDescent="0.3"/>
    <row r="677" ht="45.6" customHeight="1" x14ac:dyDescent="0.3"/>
    <row r="678" ht="22.8" customHeight="1" x14ac:dyDescent="0.3"/>
    <row r="679" ht="45.6" customHeight="1" x14ac:dyDescent="0.3"/>
    <row r="680" ht="22.8" customHeight="1" x14ac:dyDescent="0.3"/>
    <row r="681" ht="22.8" customHeight="1" x14ac:dyDescent="0.3"/>
    <row r="682" ht="22.8" customHeight="1" x14ac:dyDescent="0.3"/>
    <row r="683" ht="22.8" customHeight="1" x14ac:dyDescent="0.3"/>
    <row r="684" ht="22.8" customHeight="1" x14ac:dyDescent="0.3"/>
    <row r="685" ht="22.8" customHeight="1" x14ac:dyDescent="0.3"/>
    <row r="686" ht="22.8" customHeight="1" x14ac:dyDescent="0.3"/>
    <row r="688" ht="34.200000000000003" customHeight="1" x14ac:dyDescent="0.3"/>
    <row r="689" ht="22.8" customHeight="1" x14ac:dyDescent="0.3"/>
    <row r="690" ht="22.8" customHeight="1" x14ac:dyDescent="0.3"/>
    <row r="691" ht="34.200000000000003" customHeight="1" x14ac:dyDescent="0.3"/>
    <row r="692" ht="22.8" customHeight="1" x14ac:dyDescent="0.3"/>
    <row r="693" ht="22.8" customHeight="1" x14ac:dyDescent="0.3"/>
    <row r="694" ht="22.8" customHeight="1" x14ac:dyDescent="0.3"/>
    <row r="695" ht="22.8" customHeight="1" x14ac:dyDescent="0.3"/>
    <row r="696" ht="22.8" customHeight="1" x14ac:dyDescent="0.3"/>
    <row r="697" ht="22.8" customHeight="1" x14ac:dyDescent="0.3"/>
    <row r="698" ht="34.200000000000003" customHeight="1" x14ac:dyDescent="0.3"/>
    <row r="699" ht="22.8" customHeight="1" x14ac:dyDescent="0.3"/>
    <row r="700" ht="22.8" customHeight="1" x14ac:dyDescent="0.3"/>
    <row r="701" ht="22.8" customHeight="1" x14ac:dyDescent="0.3"/>
    <row r="702" ht="22.8" customHeight="1" x14ac:dyDescent="0.3"/>
    <row r="703" ht="34.200000000000003" customHeight="1" x14ac:dyDescent="0.3"/>
    <row r="704" ht="34.200000000000003" customHeight="1" x14ac:dyDescent="0.3"/>
    <row r="705" ht="22.8" customHeight="1" x14ac:dyDescent="0.3"/>
    <row r="706" ht="22.8" customHeight="1" x14ac:dyDescent="0.3"/>
    <row r="707" ht="45.6" customHeight="1" x14ac:dyDescent="0.3"/>
    <row r="709" ht="57" customHeight="1" x14ac:dyDescent="0.3"/>
    <row r="710" ht="34.200000000000003" customHeight="1" x14ac:dyDescent="0.3"/>
    <row r="711" ht="22.8" customHeight="1" x14ac:dyDescent="0.3"/>
    <row r="712" ht="34.200000000000003" customHeight="1" x14ac:dyDescent="0.3"/>
    <row r="713" ht="22.8" customHeight="1" x14ac:dyDescent="0.3"/>
    <row r="714" ht="45.6" customHeight="1" x14ac:dyDescent="0.3"/>
    <row r="715" ht="22.8" customHeight="1" x14ac:dyDescent="0.3"/>
    <row r="716" ht="45.6" customHeight="1" x14ac:dyDescent="0.3"/>
    <row r="717" ht="34.200000000000003" customHeight="1" x14ac:dyDescent="0.3"/>
    <row r="718" ht="45.6" customHeight="1" x14ac:dyDescent="0.3"/>
    <row r="719" ht="22.8" customHeight="1" x14ac:dyDescent="0.3"/>
    <row r="720" ht="34.200000000000003" customHeight="1" x14ac:dyDescent="0.3"/>
    <row r="721" ht="57" customHeight="1" x14ac:dyDescent="0.3"/>
    <row r="722" ht="34.200000000000003" customHeight="1" x14ac:dyDescent="0.3"/>
    <row r="723" ht="34.200000000000003" customHeight="1" x14ac:dyDescent="0.3"/>
    <row r="724" ht="34.200000000000003" customHeight="1" x14ac:dyDescent="0.3"/>
    <row r="725" ht="45.6" customHeight="1" x14ac:dyDescent="0.3"/>
    <row r="726" ht="45.6" customHeight="1" x14ac:dyDescent="0.3"/>
    <row r="727" ht="45.6" customHeight="1" x14ac:dyDescent="0.3"/>
    <row r="728" ht="45.6" customHeight="1" x14ac:dyDescent="0.3"/>
    <row r="729" ht="22.8" customHeight="1" x14ac:dyDescent="0.3"/>
    <row r="730" ht="22.8" customHeight="1" x14ac:dyDescent="0.3"/>
    <row r="731" ht="22.8" customHeight="1" x14ac:dyDescent="0.3"/>
    <row r="732" ht="22.8" customHeight="1" x14ac:dyDescent="0.3"/>
    <row r="733" ht="34.200000000000003" customHeight="1" x14ac:dyDescent="0.3"/>
    <row r="734" ht="34.200000000000003" customHeight="1" x14ac:dyDescent="0.3"/>
    <row r="735" ht="34.200000000000003" customHeight="1" x14ac:dyDescent="0.3"/>
    <row r="736" ht="34.200000000000003" customHeight="1" x14ac:dyDescent="0.3"/>
    <row r="737" ht="45.6" customHeight="1" x14ac:dyDescent="0.3"/>
    <row r="738" ht="22.8" customHeight="1" x14ac:dyDescent="0.3"/>
    <row r="740" ht="22.8" customHeight="1" x14ac:dyDescent="0.3"/>
    <row r="741" ht="45.6" customHeight="1" x14ac:dyDescent="0.3"/>
    <row r="742" ht="22.8" customHeight="1" x14ac:dyDescent="0.3"/>
    <row r="743" ht="34.200000000000003" customHeight="1" x14ac:dyDescent="0.3"/>
    <row r="744" ht="34.200000000000003" customHeight="1" x14ac:dyDescent="0.3"/>
    <row r="745" ht="22.8" customHeight="1" x14ac:dyDescent="0.3"/>
    <row r="746" ht="34.200000000000003" customHeight="1" x14ac:dyDescent="0.3"/>
    <row r="747" ht="22.8" customHeight="1" x14ac:dyDescent="0.3"/>
    <row r="748" ht="34.200000000000003" customHeight="1" x14ac:dyDescent="0.3"/>
    <row r="749" ht="45.6" customHeight="1" x14ac:dyDescent="0.3"/>
    <row r="750" ht="45.6" customHeight="1" x14ac:dyDescent="0.3"/>
    <row r="751" ht="45.6" customHeight="1" x14ac:dyDescent="0.3"/>
    <row r="752" ht="22.8" customHeight="1" x14ac:dyDescent="0.3"/>
    <row r="753" ht="22.8" customHeight="1" x14ac:dyDescent="0.3"/>
    <row r="754" ht="22.8" customHeight="1" x14ac:dyDescent="0.3"/>
    <row r="755" ht="34.200000000000003" customHeight="1" x14ac:dyDescent="0.3"/>
    <row r="756" ht="45.6" customHeight="1" x14ac:dyDescent="0.3"/>
    <row r="757" ht="22.8" customHeight="1" x14ac:dyDescent="0.3"/>
    <row r="758" ht="22.8" customHeight="1" x14ac:dyDescent="0.3"/>
    <row r="759" ht="22.8" customHeight="1" x14ac:dyDescent="0.3"/>
    <row r="760" ht="22.8" customHeight="1" x14ac:dyDescent="0.3"/>
    <row r="761" ht="34.200000000000003" customHeight="1" x14ac:dyDescent="0.3"/>
    <row r="762" ht="22.8" customHeight="1" x14ac:dyDescent="0.3"/>
    <row r="763" ht="68.400000000000006" customHeight="1" x14ac:dyDescent="0.3"/>
    <row r="764" ht="45.6" customHeight="1" x14ac:dyDescent="0.3"/>
    <row r="765" ht="22.8" customHeight="1" x14ac:dyDescent="0.3"/>
    <row r="766" ht="34.200000000000003" customHeight="1" x14ac:dyDescent="0.3"/>
    <row r="767" ht="45.6" customHeight="1" x14ac:dyDescent="0.3"/>
    <row r="768" ht="45.6" customHeight="1" x14ac:dyDescent="0.3"/>
    <row r="769" ht="22.8" customHeight="1" x14ac:dyDescent="0.3"/>
    <row r="770" ht="22.8" customHeight="1" x14ac:dyDescent="0.3"/>
    <row r="771" ht="45.6" customHeight="1" x14ac:dyDescent="0.3"/>
    <row r="772" ht="34.200000000000003" customHeight="1" x14ac:dyDescent="0.3"/>
    <row r="773" ht="34.200000000000003" customHeight="1" x14ac:dyDescent="0.3"/>
    <row r="775" ht="34.200000000000003" customHeight="1" x14ac:dyDescent="0.3"/>
    <row r="777" ht="34.200000000000003" customHeight="1" x14ac:dyDescent="0.3"/>
    <row r="779" ht="22.8" customHeight="1" x14ac:dyDescent="0.3"/>
    <row r="780" ht="22.8" customHeight="1" x14ac:dyDescent="0.3"/>
    <row r="781" ht="34.200000000000003" customHeight="1" x14ac:dyDescent="0.3"/>
    <row r="782" ht="22.8" customHeight="1" x14ac:dyDescent="0.3"/>
    <row r="783" ht="34.200000000000003" customHeight="1" x14ac:dyDescent="0.3"/>
    <row r="784" ht="22.8" customHeight="1" x14ac:dyDescent="0.3"/>
    <row r="785" ht="45.6" customHeight="1" x14ac:dyDescent="0.3"/>
    <row r="786" ht="22.8" customHeight="1" x14ac:dyDescent="0.3"/>
    <row r="787" ht="22.8" customHeight="1" x14ac:dyDescent="0.3"/>
    <row r="788" ht="22.8" customHeight="1" x14ac:dyDescent="0.3"/>
    <row r="789" ht="22.8" customHeight="1" x14ac:dyDescent="0.3"/>
    <row r="790" ht="34.200000000000003" customHeight="1" x14ac:dyDescent="0.3"/>
    <row r="792" ht="34.200000000000003" customHeight="1" x14ac:dyDescent="0.3"/>
    <row r="795" ht="22.8" customHeight="1" x14ac:dyDescent="0.3"/>
    <row r="796" ht="34.200000000000003" customHeight="1" x14ac:dyDescent="0.3"/>
    <row r="797" ht="34.200000000000003" customHeight="1" x14ac:dyDescent="0.3"/>
    <row r="798" ht="22.8" customHeight="1" x14ac:dyDescent="0.3"/>
    <row r="799" ht="34.200000000000003" customHeight="1" x14ac:dyDescent="0.3"/>
    <row r="800" ht="45.6" customHeight="1" x14ac:dyDescent="0.3"/>
    <row r="801" ht="34.200000000000003" customHeight="1" x14ac:dyDescent="0.3"/>
    <row r="802" ht="45.6" customHeight="1" x14ac:dyDescent="0.3"/>
    <row r="803" ht="57" customHeight="1" x14ac:dyDescent="0.3"/>
    <row r="804" ht="34.200000000000003" customHeight="1" x14ac:dyDescent="0.3"/>
    <row r="805" ht="34.200000000000003" customHeight="1" x14ac:dyDescent="0.3"/>
    <row r="806" ht="45.6" customHeight="1" x14ac:dyDescent="0.3"/>
    <row r="807" ht="57" customHeight="1" x14ac:dyDescent="0.3"/>
    <row r="808" ht="34.200000000000003" customHeight="1" x14ac:dyDescent="0.3"/>
    <row r="810" ht="34.200000000000003" customHeight="1" x14ac:dyDescent="0.3"/>
    <row r="811" ht="34.200000000000003" customHeight="1" x14ac:dyDescent="0.3"/>
    <row r="813" ht="22.8" customHeight="1" x14ac:dyDescent="0.3"/>
    <row r="814" ht="34.200000000000003" customHeight="1" x14ac:dyDescent="0.3"/>
    <row r="815" ht="34.200000000000003" customHeight="1" x14ac:dyDescent="0.3"/>
    <row r="816" ht="34.200000000000003" customHeight="1" x14ac:dyDescent="0.3"/>
    <row r="817" ht="34.200000000000003" customHeight="1" x14ac:dyDescent="0.3"/>
    <row r="818" ht="34.200000000000003" customHeight="1" x14ac:dyDescent="0.3"/>
    <row r="819" ht="45.6" customHeight="1" x14ac:dyDescent="0.3"/>
    <row r="820" ht="22.8" customHeight="1" x14ac:dyDescent="0.3"/>
    <row r="821" ht="34.200000000000003" customHeight="1" x14ac:dyDescent="0.3"/>
    <row r="822" ht="22.8" customHeight="1" x14ac:dyDescent="0.3"/>
    <row r="823" ht="22.8" customHeight="1" x14ac:dyDescent="0.3"/>
    <row r="824" ht="34.200000000000003" customHeight="1" x14ac:dyDescent="0.3"/>
    <row r="825" ht="22.8" customHeight="1" x14ac:dyDescent="0.3"/>
    <row r="826" ht="22.8" customHeight="1" x14ac:dyDescent="0.3"/>
    <row r="827" ht="22.8" customHeight="1" x14ac:dyDescent="0.3"/>
    <row r="828" ht="22.8" customHeight="1" x14ac:dyDescent="0.3"/>
    <row r="829" ht="22.8" customHeight="1" x14ac:dyDescent="0.3"/>
    <row r="830" ht="45.6" customHeight="1" x14ac:dyDescent="0.3"/>
    <row r="831" ht="45.6" customHeight="1" x14ac:dyDescent="0.3"/>
    <row r="832" ht="22.8" customHeight="1" x14ac:dyDescent="0.3"/>
    <row r="833" ht="34.200000000000003" customHeight="1" x14ac:dyDescent="0.3"/>
    <row r="834" ht="22.8" customHeight="1" x14ac:dyDescent="0.3"/>
    <row r="835" ht="22.8" customHeight="1" x14ac:dyDescent="0.3"/>
    <row r="837" ht="22.8" customHeight="1" x14ac:dyDescent="0.3"/>
    <row r="838" ht="22.8" customHeight="1" x14ac:dyDescent="0.3"/>
    <row r="840" ht="22.8" customHeight="1" x14ac:dyDescent="0.3"/>
    <row r="841" ht="34.200000000000003" customHeight="1" x14ac:dyDescent="0.3"/>
    <row r="842" ht="22.8" customHeight="1" x14ac:dyDescent="0.3"/>
    <row r="843" ht="68.400000000000006" customHeight="1" x14ac:dyDescent="0.3"/>
    <row r="844" ht="34.200000000000003" customHeight="1" x14ac:dyDescent="0.3"/>
    <row r="845" ht="34.200000000000003" customHeight="1" x14ac:dyDescent="0.3"/>
    <row r="846" ht="34.200000000000003" customHeight="1" x14ac:dyDescent="0.3"/>
    <row r="847" ht="45.6" customHeight="1" x14ac:dyDescent="0.3"/>
    <row r="848" ht="57" customHeight="1" x14ac:dyDescent="0.3"/>
    <row r="849" ht="34.200000000000003" customHeight="1" x14ac:dyDescent="0.3"/>
    <row r="850" ht="45.6" customHeight="1" x14ac:dyDescent="0.3"/>
    <row r="851" ht="45.6" customHeight="1" x14ac:dyDescent="0.3"/>
    <row r="852" ht="45.6" customHeight="1" x14ac:dyDescent="0.3"/>
    <row r="853" ht="45.6" customHeight="1" x14ac:dyDescent="0.3"/>
    <row r="854" ht="34.200000000000003" customHeight="1" x14ac:dyDescent="0.3"/>
    <row r="855" ht="22.8" customHeight="1" x14ac:dyDescent="0.3"/>
    <row r="856" ht="22.8" customHeight="1" x14ac:dyDescent="0.3"/>
    <row r="857" ht="34.200000000000003" customHeight="1" x14ac:dyDescent="0.3"/>
    <row r="858" ht="34.200000000000003" customHeight="1" x14ac:dyDescent="0.3"/>
    <row r="859" ht="22.8" customHeight="1" x14ac:dyDescent="0.3"/>
    <row r="860" ht="34.200000000000003" customHeight="1" x14ac:dyDescent="0.3"/>
    <row r="861" ht="45.6" customHeight="1" x14ac:dyDescent="0.3"/>
    <row r="862" ht="22.8" customHeight="1" x14ac:dyDescent="0.3"/>
    <row r="863" ht="34.200000000000003" customHeight="1" x14ac:dyDescent="0.3"/>
    <row r="864" ht="45.6" customHeight="1" x14ac:dyDescent="0.3"/>
    <row r="865" ht="22.8" customHeight="1" x14ac:dyDescent="0.3"/>
    <row r="868" ht="22.8" customHeight="1" x14ac:dyDescent="0.3"/>
    <row r="871" ht="34.200000000000003" customHeight="1" x14ac:dyDescent="0.3"/>
    <row r="872" ht="45.6" customHeight="1" x14ac:dyDescent="0.3"/>
    <row r="873" ht="57" customHeight="1" x14ac:dyDescent="0.3"/>
    <row r="874" ht="57" customHeight="1" x14ac:dyDescent="0.3"/>
    <row r="875" ht="22.8" customHeight="1" x14ac:dyDescent="0.3"/>
    <row r="876" ht="22.8" customHeight="1" x14ac:dyDescent="0.3"/>
    <row r="877" ht="45.6" customHeight="1" x14ac:dyDescent="0.3"/>
    <row r="878" ht="45.6" customHeight="1" x14ac:dyDescent="0.3"/>
    <row r="879" ht="57" customHeight="1" x14ac:dyDescent="0.3"/>
    <row r="880" ht="34.200000000000003" customHeight="1" x14ac:dyDescent="0.3"/>
    <row r="881" ht="45.6" customHeight="1" x14ac:dyDescent="0.3"/>
    <row r="882" ht="34.200000000000003" customHeight="1" x14ac:dyDescent="0.3"/>
    <row r="883" ht="45.6" customHeight="1" x14ac:dyDescent="0.3"/>
    <row r="884" ht="68.400000000000006" customHeight="1" x14ac:dyDescent="0.3"/>
    <row r="885" ht="45.6" customHeight="1" x14ac:dyDescent="0.3"/>
    <row r="886" ht="34.200000000000003" customHeight="1" x14ac:dyDescent="0.3"/>
    <row r="887" ht="57" customHeight="1" x14ac:dyDescent="0.3"/>
    <row r="888" ht="68.400000000000006" customHeight="1" x14ac:dyDescent="0.3"/>
    <row r="889" ht="45.6" customHeight="1" x14ac:dyDescent="0.3"/>
    <row r="890" ht="45.6" customHeight="1" x14ac:dyDescent="0.3"/>
    <row r="891" ht="22.8" customHeight="1" x14ac:dyDescent="0.3"/>
    <row r="892" ht="22.8" customHeight="1" x14ac:dyDescent="0.3"/>
    <row r="893" ht="22.8" customHeight="1" x14ac:dyDescent="0.3"/>
    <row r="894" ht="34.200000000000003" customHeight="1" x14ac:dyDescent="0.3"/>
    <row r="895" ht="22.8" customHeight="1" x14ac:dyDescent="0.3"/>
    <row r="896" ht="34.200000000000003" customHeight="1" x14ac:dyDescent="0.3"/>
    <row r="897" ht="34.200000000000003" customHeight="1" x14ac:dyDescent="0.3"/>
    <row r="898" ht="57" customHeight="1" x14ac:dyDescent="0.3"/>
    <row r="899" ht="45.6" customHeight="1" x14ac:dyDescent="0.3"/>
    <row r="900" ht="34.200000000000003" customHeight="1" x14ac:dyDescent="0.3"/>
    <row r="901" ht="34.200000000000003" customHeight="1" x14ac:dyDescent="0.3"/>
    <row r="903" ht="34.200000000000003" customHeight="1" x14ac:dyDescent="0.3"/>
    <row r="904" ht="22.8" customHeight="1" x14ac:dyDescent="0.3"/>
    <row r="905" ht="22.8" customHeight="1" x14ac:dyDescent="0.3"/>
    <row r="906" ht="57" customHeight="1" x14ac:dyDescent="0.3"/>
    <row r="907" ht="22.8" customHeight="1" x14ac:dyDescent="0.3"/>
    <row r="908" ht="45.6" customHeight="1" x14ac:dyDescent="0.3"/>
    <row r="909" ht="22.8" customHeight="1" x14ac:dyDescent="0.3"/>
    <row r="910" ht="22.8" customHeight="1" x14ac:dyDescent="0.3"/>
    <row r="911" ht="34.200000000000003" customHeight="1" x14ac:dyDescent="0.3"/>
    <row r="912" ht="45.6" customHeight="1" x14ac:dyDescent="0.3"/>
    <row r="913" ht="57" customHeight="1" x14ac:dyDescent="0.3"/>
    <row r="914" ht="34.200000000000003" customHeight="1" x14ac:dyDescent="0.3"/>
    <row r="915" ht="45.6" customHeight="1" x14ac:dyDescent="0.3"/>
    <row r="916" ht="22.8" customHeight="1" x14ac:dyDescent="0.3"/>
    <row r="917" ht="22.8" customHeight="1" x14ac:dyDescent="0.3"/>
    <row r="918" ht="34.200000000000003" customHeight="1" x14ac:dyDescent="0.3"/>
    <row r="919" ht="34.200000000000003" customHeight="1" x14ac:dyDescent="0.3"/>
    <row r="920" ht="22.8" customHeight="1" x14ac:dyDescent="0.3"/>
    <row r="921" ht="34.200000000000003" customHeight="1" x14ac:dyDescent="0.3"/>
    <row r="922" ht="45.6" customHeight="1" x14ac:dyDescent="0.3"/>
    <row r="923" ht="34.200000000000003" customHeight="1" x14ac:dyDescent="0.3"/>
    <row r="924" ht="34.200000000000003" customHeight="1" x14ac:dyDescent="0.3"/>
    <row r="925" ht="68.400000000000006" customHeight="1" x14ac:dyDescent="0.3"/>
    <row r="926" ht="22.8" customHeight="1" x14ac:dyDescent="0.3"/>
    <row r="927" ht="45.6" customHeight="1" x14ac:dyDescent="0.3"/>
    <row r="928" ht="34.200000000000003" customHeight="1" x14ac:dyDescent="0.3"/>
    <row r="929" ht="34.200000000000003" customHeight="1" x14ac:dyDescent="0.3"/>
    <row r="930" ht="45.6" customHeight="1" x14ac:dyDescent="0.3"/>
    <row r="931" ht="22.8" customHeight="1" x14ac:dyDescent="0.3"/>
    <row r="932" ht="22.8" customHeight="1" x14ac:dyDescent="0.3"/>
    <row r="933" ht="22.8" customHeight="1" x14ac:dyDescent="0.3"/>
    <row r="934" ht="45.6" customHeight="1" x14ac:dyDescent="0.3"/>
    <row r="935" ht="22.8" customHeight="1" x14ac:dyDescent="0.3"/>
    <row r="936" ht="34.200000000000003" customHeight="1" x14ac:dyDescent="0.3"/>
    <row r="937" ht="22.8" customHeight="1" x14ac:dyDescent="0.3"/>
    <row r="938" ht="34.200000000000003" customHeight="1" x14ac:dyDescent="0.3"/>
    <row r="939" ht="34.200000000000003" customHeight="1" x14ac:dyDescent="0.3"/>
    <row r="940" ht="22.8" customHeight="1" x14ac:dyDescent="0.3"/>
    <row r="941" ht="34.200000000000003" customHeight="1" x14ac:dyDescent="0.3"/>
    <row r="942" ht="22.8" customHeight="1" x14ac:dyDescent="0.3"/>
    <row r="943" ht="22.8" customHeight="1" x14ac:dyDescent="0.3"/>
    <row r="944" ht="22.8" customHeight="1" x14ac:dyDescent="0.3"/>
    <row r="945" ht="34.200000000000003" customHeight="1" x14ac:dyDescent="0.3"/>
    <row r="947" ht="34.200000000000003" customHeight="1" x14ac:dyDescent="0.3"/>
    <row r="949" ht="22.8" customHeight="1" x14ac:dyDescent="0.3"/>
    <row r="950" ht="22.8" customHeight="1" x14ac:dyDescent="0.3"/>
    <row r="951" ht="22.8" customHeight="1" x14ac:dyDescent="0.3"/>
    <row r="952" ht="22.8" customHeight="1" x14ac:dyDescent="0.3"/>
    <row r="953" ht="22.8" customHeight="1" x14ac:dyDescent="0.3"/>
    <row r="955" ht="22.8" customHeight="1" x14ac:dyDescent="0.3"/>
    <row r="956" ht="34.200000000000003" customHeight="1" x14ac:dyDescent="0.3"/>
    <row r="958" ht="45.6" customHeight="1" x14ac:dyDescent="0.3"/>
    <row r="959" ht="34.200000000000003" customHeight="1" x14ac:dyDescent="0.3"/>
    <row r="961" ht="45.6" customHeight="1" x14ac:dyDescent="0.3"/>
    <row r="962" ht="45.6" customHeight="1" x14ac:dyDescent="0.3"/>
    <row r="963" ht="34.200000000000003" customHeight="1" x14ac:dyDescent="0.3"/>
    <row r="965" ht="22.8" customHeight="1" x14ac:dyDescent="0.3"/>
    <row r="966" ht="34.200000000000003" customHeight="1" x14ac:dyDescent="0.3"/>
    <row r="967" ht="22.8" customHeight="1" x14ac:dyDescent="0.3"/>
    <row r="968" ht="34.200000000000003" customHeight="1" x14ac:dyDescent="0.3"/>
    <row r="969" ht="57" customHeight="1" x14ac:dyDescent="0.3"/>
    <row r="970" ht="45.6" customHeight="1" x14ac:dyDescent="0.3"/>
    <row r="971" ht="22.8" customHeight="1" x14ac:dyDescent="0.3"/>
    <row r="972" ht="22.8" customHeight="1" x14ac:dyDescent="0.3"/>
    <row r="973" ht="34.200000000000003" customHeight="1" x14ac:dyDescent="0.3"/>
    <row r="974" ht="34.200000000000003" customHeight="1" x14ac:dyDescent="0.3"/>
    <row r="975" ht="34.200000000000003" customHeight="1" x14ac:dyDescent="0.3"/>
    <row r="976" ht="22.8" customHeight="1" x14ac:dyDescent="0.3"/>
    <row r="977" ht="22.8" customHeight="1" x14ac:dyDescent="0.3"/>
    <row r="978" ht="34.200000000000003" customHeight="1" x14ac:dyDescent="0.3"/>
    <row r="979" ht="34.200000000000003" customHeight="1" x14ac:dyDescent="0.3"/>
    <row r="980" ht="45.6" customHeight="1" x14ac:dyDescent="0.3"/>
    <row r="981" ht="22.8" customHeight="1" x14ac:dyDescent="0.3"/>
    <row r="982" ht="22.8" customHeight="1" x14ac:dyDescent="0.3"/>
    <row r="983" ht="34.200000000000003" customHeight="1" x14ac:dyDescent="0.3"/>
    <row r="984" ht="22.8" customHeight="1" x14ac:dyDescent="0.3"/>
    <row r="985" ht="22.8" customHeight="1" x14ac:dyDescent="0.3"/>
    <row r="986" ht="22.8" customHeight="1" x14ac:dyDescent="0.3"/>
    <row r="987" ht="68.400000000000006" customHeight="1" x14ac:dyDescent="0.3"/>
    <row r="988" ht="45.6" customHeight="1" x14ac:dyDescent="0.3"/>
    <row r="989" ht="34.200000000000003" customHeight="1" x14ac:dyDescent="0.3"/>
    <row r="990" ht="22.8" customHeight="1" x14ac:dyDescent="0.3"/>
    <row r="991" ht="34.200000000000003" customHeight="1" x14ac:dyDescent="0.3"/>
    <row r="992" ht="34.200000000000003" customHeight="1" x14ac:dyDescent="0.3"/>
    <row r="993" ht="45.6" customHeight="1" x14ac:dyDescent="0.3"/>
    <row r="994" ht="22.8" customHeight="1" x14ac:dyDescent="0.3"/>
    <row r="995" ht="34.200000000000003" customHeight="1" x14ac:dyDescent="0.3"/>
    <row r="996" ht="34.200000000000003" customHeight="1" x14ac:dyDescent="0.3"/>
    <row r="997" ht="34.200000000000003" customHeight="1" x14ac:dyDescent="0.3"/>
    <row r="998" ht="22.8" customHeight="1" x14ac:dyDescent="0.3"/>
    <row r="999" ht="22.8" customHeight="1" x14ac:dyDescent="0.3"/>
    <row r="1000" ht="45.6" customHeight="1" x14ac:dyDescent="0.3"/>
    <row r="1001" ht="34.200000000000003" customHeight="1" x14ac:dyDescent="0.3"/>
    <row r="1002" ht="22.8" customHeight="1" x14ac:dyDescent="0.3"/>
    <row r="1003" ht="22.8" customHeight="1" x14ac:dyDescent="0.3"/>
    <row r="1005" ht="34.200000000000003" customHeight="1" x14ac:dyDescent="0.3"/>
    <row r="1006" ht="22.8" customHeight="1" x14ac:dyDescent="0.3"/>
    <row r="1009" ht="22.8" customHeight="1" x14ac:dyDescent="0.3"/>
    <row r="1011" ht="68.400000000000006" customHeight="1" x14ac:dyDescent="0.3"/>
    <row r="1012" ht="68.400000000000006" customHeight="1" x14ac:dyDescent="0.3"/>
    <row r="1013" ht="68.400000000000006" customHeight="1" x14ac:dyDescent="0.3"/>
    <row r="1014" ht="34.200000000000003" customHeight="1" x14ac:dyDescent="0.3"/>
    <row r="1015" ht="22.8" customHeight="1" x14ac:dyDescent="0.3"/>
    <row r="1016" ht="34.200000000000003" customHeight="1" x14ac:dyDescent="0.3"/>
    <row r="1017" ht="45.6" customHeight="1" x14ac:dyDescent="0.3"/>
    <row r="1018" ht="22.8" customHeight="1" x14ac:dyDescent="0.3"/>
    <row r="1019" ht="22.8" customHeight="1" x14ac:dyDescent="0.3"/>
    <row r="1020" ht="34.200000000000003" customHeight="1" x14ac:dyDescent="0.3"/>
    <row r="1022" ht="22.8" customHeight="1" x14ac:dyDescent="0.3"/>
    <row r="1023" ht="22.8" customHeight="1" x14ac:dyDescent="0.3"/>
    <row r="1024" ht="22.8" customHeight="1" x14ac:dyDescent="0.3"/>
    <row r="1025" ht="34.200000000000003" customHeight="1" x14ac:dyDescent="0.3"/>
    <row r="1026" ht="45.6" customHeight="1" x14ac:dyDescent="0.3"/>
    <row r="1027" ht="22.8" customHeight="1" x14ac:dyDescent="0.3"/>
    <row r="1028" ht="22.8" customHeight="1" x14ac:dyDescent="0.3"/>
    <row r="1029" ht="22.8" customHeight="1" x14ac:dyDescent="0.3"/>
    <row r="1030" ht="22.8" customHeight="1" x14ac:dyDescent="0.3"/>
    <row r="1031" ht="45.6" customHeight="1" x14ac:dyDescent="0.3"/>
    <row r="1032" ht="22.8" customHeight="1" x14ac:dyDescent="0.3"/>
    <row r="1033" ht="22.8" customHeight="1" x14ac:dyDescent="0.3"/>
    <row r="1034" ht="22.8" customHeight="1" x14ac:dyDescent="0.3"/>
    <row r="1035" ht="22.8" customHeight="1" x14ac:dyDescent="0.3"/>
    <row r="1036" ht="22.8" customHeight="1" x14ac:dyDescent="0.3"/>
    <row r="1037" ht="34.200000000000003" customHeight="1" x14ac:dyDescent="0.3"/>
    <row r="1038" ht="34.200000000000003" customHeight="1" x14ac:dyDescent="0.3"/>
    <row r="1039" ht="45.6" customHeight="1" x14ac:dyDescent="0.3"/>
    <row r="1040" ht="34.200000000000003" customHeight="1" x14ac:dyDescent="0.3"/>
    <row r="1041" ht="45.6" customHeight="1" x14ac:dyDescent="0.3"/>
    <row r="1042" ht="22.8" customHeight="1" x14ac:dyDescent="0.3"/>
    <row r="1043" ht="34.200000000000003" customHeight="1" x14ac:dyDescent="0.3"/>
    <row r="1044" ht="22.8" customHeight="1" x14ac:dyDescent="0.3"/>
    <row r="1045" ht="22.8" customHeight="1" x14ac:dyDescent="0.3"/>
    <row r="1046" ht="22.8" customHeight="1" x14ac:dyDescent="0.3"/>
    <row r="1047" ht="34.200000000000003" customHeight="1" x14ac:dyDescent="0.3"/>
    <row r="1048" ht="45.6" customHeight="1" x14ac:dyDescent="0.3"/>
    <row r="1049" ht="57" customHeight="1" x14ac:dyDescent="0.3"/>
    <row r="1050" ht="57" customHeight="1" x14ac:dyDescent="0.3"/>
    <row r="1051" ht="34.200000000000003" customHeight="1" x14ac:dyDescent="0.3"/>
    <row r="1052" ht="34.200000000000003" customHeight="1" x14ac:dyDescent="0.3"/>
    <row r="1053" ht="22.8" customHeight="1" x14ac:dyDescent="0.3"/>
    <row r="1054" ht="57" customHeight="1" x14ac:dyDescent="0.3"/>
    <row r="1055" ht="22.8" customHeight="1" x14ac:dyDescent="0.3"/>
    <row r="1056" ht="22.8" customHeight="1" x14ac:dyDescent="0.3"/>
    <row r="1057" ht="34.200000000000003" customHeight="1" x14ac:dyDescent="0.3"/>
    <row r="1058" ht="34.200000000000003" customHeight="1" x14ac:dyDescent="0.3"/>
    <row r="1059" ht="22.8" customHeight="1" x14ac:dyDescent="0.3"/>
    <row r="1060" ht="34.200000000000003" customHeight="1" x14ac:dyDescent="0.3"/>
    <row r="1061" ht="22.8" customHeight="1" x14ac:dyDescent="0.3"/>
    <row r="1062" ht="22.8" customHeight="1" x14ac:dyDescent="0.3"/>
    <row r="1063" ht="34.200000000000003" customHeight="1" x14ac:dyDescent="0.3"/>
    <row r="1064" ht="34.200000000000003" customHeight="1" x14ac:dyDescent="0.3"/>
    <row r="1065" ht="57" customHeight="1" x14ac:dyDescent="0.3"/>
    <row r="1066" ht="22.8" customHeight="1" x14ac:dyDescent="0.3"/>
    <row r="1067" ht="22.8" customHeight="1" x14ac:dyDescent="0.3"/>
    <row r="1068" ht="34.200000000000003" customHeight="1" x14ac:dyDescent="0.3"/>
    <row r="1069" ht="34.200000000000003" customHeight="1" x14ac:dyDescent="0.3"/>
    <row r="1071" ht="45.6" customHeight="1" x14ac:dyDescent="0.3"/>
    <row r="1072" ht="34.200000000000003" customHeight="1" x14ac:dyDescent="0.3"/>
    <row r="1073" ht="22.8" customHeight="1" x14ac:dyDescent="0.3"/>
    <row r="1074" ht="22.8" customHeight="1" x14ac:dyDescent="0.3"/>
    <row r="1075" ht="22.8" customHeight="1" x14ac:dyDescent="0.3"/>
    <row r="1076" ht="22.8" customHeight="1" x14ac:dyDescent="0.3"/>
    <row r="1077" ht="34.200000000000003" customHeight="1" x14ac:dyDescent="0.3"/>
    <row r="1078" ht="34.200000000000003" customHeight="1" x14ac:dyDescent="0.3"/>
    <row r="1079" ht="22.8" customHeight="1" x14ac:dyDescent="0.3"/>
    <row r="1080" ht="22.8" customHeight="1" x14ac:dyDescent="0.3"/>
    <row r="1081" ht="22.8" customHeight="1" x14ac:dyDescent="0.3"/>
    <row r="1082" ht="22.8" customHeight="1" x14ac:dyDescent="0.3"/>
    <row r="1083" ht="45.6" customHeight="1" x14ac:dyDescent="0.3"/>
    <row r="1084" ht="22.8" customHeight="1" x14ac:dyDescent="0.3"/>
    <row r="1085" ht="22.8" customHeight="1" x14ac:dyDescent="0.3"/>
    <row r="1086" ht="22.8" customHeight="1" x14ac:dyDescent="0.3"/>
    <row r="1087" ht="22.8" customHeight="1" x14ac:dyDescent="0.3"/>
    <row r="1088" ht="34.200000000000003" customHeight="1" x14ac:dyDescent="0.3"/>
    <row r="1089" ht="45.6" customHeight="1" x14ac:dyDescent="0.3"/>
    <row r="1090" ht="22.8" customHeight="1" x14ac:dyDescent="0.3"/>
    <row r="1091" ht="34.200000000000003" customHeight="1" x14ac:dyDescent="0.3"/>
    <row r="1092" ht="34.200000000000003" customHeight="1" x14ac:dyDescent="0.3"/>
    <row r="1093" ht="22.8" customHeight="1" x14ac:dyDescent="0.3"/>
    <row r="1094" ht="22.8" customHeight="1" x14ac:dyDescent="0.3"/>
    <row r="1095" ht="34.200000000000003" customHeight="1" x14ac:dyDescent="0.3"/>
    <row r="1096" ht="34.200000000000003" customHeight="1" x14ac:dyDescent="0.3"/>
    <row r="1097" ht="22.8" customHeight="1" x14ac:dyDescent="0.3"/>
    <row r="1098" ht="34.200000000000003" customHeight="1" x14ac:dyDescent="0.3"/>
    <row r="1099" ht="22.8" customHeight="1" x14ac:dyDescent="0.3"/>
    <row r="1100" ht="22.8" customHeight="1" x14ac:dyDescent="0.3"/>
    <row r="1101" ht="22.8" customHeight="1" x14ac:dyDescent="0.3"/>
    <row r="1102" ht="22.8" customHeight="1" x14ac:dyDescent="0.3"/>
    <row r="1103" ht="34.200000000000003" customHeight="1" x14ac:dyDescent="0.3"/>
    <row r="1104" ht="22.8" customHeight="1" x14ac:dyDescent="0.3"/>
    <row r="1105" ht="22.8" customHeight="1" x14ac:dyDescent="0.3"/>
    <row r="1106" ht="34.200000000000003" customHeight="1" x14ac:dyDescent="0.3"/>
    <row r="1107" ht="68.400000000000006" customHeight="1" x14ac:dyDescent="0.3"/>
    <row r="1108" ht="57" customHeight="1" x14ac:dyDescent="0.3"/>
    <row r="1109" ht="22.8" customHeight="1" x14ac:dyDescent="0.3"/>
    <row r="1110" ht="45.6" customHeight="1" x14ac:dyDescent="0.3"/>
    <row r="1111" ht="34.200000000000003" customHeight="1" x14ac:dyDescent="0.3"/>
    <row r="1112" ht="22.8" customHeight="1" x14ac:dyDescent="0.3"/>
    <row r="1113" ht="34.200000000000003" customHeight="1" x14ac:dyDescent="0.3"/>
    <row r="1114" ht="22.8" customHeight="1" x14ac:dyDescent="0.3"/>
    <row r="1115" ht="34.200000000000003" customHeight="1" x14ac:dyDescent="0.3"/>
    <row r="1116" ht="45.6" customHeight="1" x14ac:dyDescent="0.3"/>
    <row r="1117" ht="22.8" customHeight="1" x14ac:dyDescent="0.3"/>
    <row r="1118" ht="22.8" customHeight="1" x14ac:dyDescent="0.3"/>
    <row r="1119" ht="34.200000000000003" customHeight="1" x14ac:dyDescent="0.3"/>
    <row r="1120" ht="22.8" customHeight="1" x14ac:dyDescent="0.3"/>
    <row r="1122" ht="57" customHeight="1" x14ac:dyDescent="0.3"/>
    <row r="1123" ht="22.8" customHeight="1" x14ac:dyDescent="0.3"/>
    <row r="1124" ht="22.8" customHeight="1" x14ac:dyDescent="0.3"/>
    <row r="1125" ht="22.8" customHeight="1" x14ac:dyDescent="0.3"/>
    <row r="1126" ht="34.200000000000003" customHeight="1" x14ac:dyDescent="0.3"/>
    <row r="1127" ht="22.8" customHeight="1" x14ac:dyDescent="0.3"/>
    <row r="1128" ht="34.200000000000003" customHeight="1" x14ac:dyDescent="0.3"/>
    <row r="1129" ht="22.8" customHeight="1" x14ac:dyDescent="0.3"/>
    <row r="1130" ht="22.8" customHeight="1" x14ac:dyDescent="0.3"/>
    <row r="1131" ht="34.200000000000003" customHeight="1" x14ac:dyDescent="0.3"/>
    <row r="1132" ht="57" customHeight="1" x14ac:dyDescent="0.3"/>
    <row r="1133" ht="34.200000000000003" customHeight="1" x14ac:dyDescent="0.3"/>
    <row r="1134" ht="34.200000000000003" customHeight="1" x14ac:dyDescent="0.3"/>
    <row r="1135" ht="22.8" customHeight="1" x14ac:dyDescent="0.3"/>
    <row r="1137" ht="34.200000000000003" customHeight="1" x14ac:dyDescent="0.3"/>
    <row r="1138" ht="34.200000000000003" customHeight="1" x14ac:dyDescent="0.3"/>
    <row r="1139" ht="45.6" customHeight="1" x14ac:dyDescent="0.3"/>
    <row r="1140" ht="22.8" customHeight="1" x14ac:dyDescent="0.3"/>
    <row r="1141" ht="22.8" customHeight="1" x14ac:dyDescent="0.3"/>
    <row r="1142" ht="22.8" customHeight="1" x14ac:dyDescent="0.3"/>
    <row r="1143" ht="22.8" customHeight="1" x14ac:dyDescent="0.3"/>
    <row r="1144" ht="34.200000000000003" customHeight="1" x14ac:dyDescent="0.3"/>
    <row r="1145" ht="57" customHeight="1" x14ac:dyDescent="0.3"/>
    <row r="1146" ht="34.200000000000003" customHeight="1" x14ac:dyDescent="0.3"/>
    <row r="1147" ht="34.200000000000003" customHeight="1" x14ac:dyDescent="0.3"/>
    <row r="1148" ht="45.6" customHeight="1" x14ac:dyDescent="0.3"/>
    <row r="1149" ht="22.8" customHeight="1" x14ac:dyDescent="0.3"/>
    <row r="1150" ht="22.8" customHeight="1" x14ac:dyDescent="0.3"/>
    <row r="1151" ht="45.6" customHeight="1" x14ac:dyDescent="0.3"/>
    <row r="1152" ht="34.200000000000003" customHeight="1" x14ac:dyDescent="0.3"/>
    <row r="1153" ht="34.200000000000003" customHeight="1" x14ac:dyDescent="0.3"/>
    <row r="1154" ht="34.200000000000003" customHeight="1" x14ac:dyDescent="0.3"/>
    <row r="1155" ht="34.200000000000003" customHeight="1" x14ac:dyDescent="0.3"/>
    <row r="1156" ht="34.200000000000003" customHeight="1" x14ac:dyDescent="0.3"/>
    <row r="1157" ht="22.8" customHeight="1" x14ac:dyDescent="0.3"/>
    <row r="1158" ht="34.200000000000003" customHeight="1" x14ac:dyDescent="0.3"/>
    <row r="1159" ht="22.8" customHeight="1" x14ac:dyDescent="0.3"/>
    <row r="1160" ht="22.8" customHeight="1" x14ac:dyDescent="0.3"/>
    <row r="1161" ht="34.200000000000003" customHeight="1" x14ac:dyDescent="0.3"/>
    <row r="1162" ht="45.6" customHeight="1" x14ac:dyDescent="0.3"/>
    <row r="1163" ht="45.6" customHeight="1" x14ac:dyDescent="0.3"/>
    <row r="1164" ht="22.8" customHeight="1" x14ac:dyDescent="0.3"/>
    <row r="1165" ht="34.200000000000003" customHeight="1" x14ac:dyDescent="0.3"/>
    <row r="1166" ht="45.6" customHeight="1" x14ac:dyDescent="0.3"/>
    <row r="1167" ht="22.8" customHeight="1" x14ac:dyDescent="0.3"/>
    <row r="1168" ht="34.200000000000003" customHeight="1" x14ac:dyDescent="0.3"/>
    <row r="1169" ht="22.8" customHeight="1" x14ac:dyDescent="0.3"/>
    <row r="1170" ht="22.8" customHeight="1" x14ac:dyDescent="0.3"/>
    <row r="1171" ht="22.8" customHeight="1" x14ac:dyDescent="0.3"/>
    <row r="1172" ht="22.8" customHeight="1" x14ac:dyDescent="0.3"/>
    <row r="1173" ht="22.8" customHeight="1" x14ac:dyDescent="0.3"/>
    <row r="1174" ht="22.8" customHeight="1" x14ac:dyDescent="0.3"/>
    <row r="1175" ht="22.8" customHeight="1" x14ac:dyDescent="0.3"/>
    <row r="1177" ht="34.200000000000003" customHeight="1" x14ac:dyDescent="0.3"/>
    <row r="1178" ht="22.8" customHeight="1" x14ac:dyDescent="0.3"/>
    <row r="1179" ht="22.8" customHeight="1" x14ac:dyDescent="0.3"/>
    <row r="1180" ht="22.8" customHeight="1" x14ac:dyDescent="0.3"/>
    <row r="1181" ht="22.8" customHeight="1" x14ac:dyDescent="0.3"/>
    <row r="1182" ht="34.200000000000003" customHeight="1" x14ac:dyDescent="0.3"/>
    <row r="1183" ht="34.200000000000003" customHeight="1" x14ac:dyDescent="0.3"/>
    <row r="1184" ht="45.6" customHeight="1" x14ac:dyDescent="0.3"/>
    <row r="1187" ht="22.8" customHeight="1" x14ac:dyDescent="0.3"/>
    <row r="1188" ht="34.200000000000003" customHeight="1" x14ac:dyDescent="0.3"/>
    <row r="1189" ht="45.6" customHeight="1" x14ac:dyDescent="0.3"/>
    <row r="1192" ht="34.200000000000003" customHeight="1" x14ac:dyDescent="0.3"/>
    <row r="1193" ht="22.8" customHeight="1" x14ac:dyDescent="0.3"/>
    <row r="1194" ht="22.8" customHeight="1" x14ac:dyDescent="0.3"/>
    <row r="1196" ht="22.8" customHeight="1" x14ac:dyDescent="0.3"/>
    <row r="1197" ht="34.200000000000003" customHeight="1" x14ac:dyDescent="0.3"/>
    <row r="1198" ht="22.8" customHeight="1" x14ac:dyDescent="0.3"/>
    <row r="1199" ht="34.200000000000003" customHeight="1" x14ac:dyDescent="0.3"/>
    <row r="1200" ht="34.200000000000003" customHeight="1" x14ac:dyDescent="0.3"/>
    <row r="1201" ht="22.8" customHeight="1" x14ac:dyDescent="0.3"/>
    <row r="1202" ht="34.200000000000003" customHeight="1" x14ac:dyDescent="0.3"/>
    <row r="1203" ht="22.8" customHeight="1" x14ac:dyDescent="0.3"/>
    <row r="1204" ht="22.8" customHeight="1" x14ac:dyDescent="0.3"/>
    <row r="1205" ht="22.8" customHeight="1" x14ac:dyDescent="0.3"/>
    <row r="1206" ht="22.8" customHeight="1" x14ac:dyDescent="0.3"/>
    <row r="1208" ht="22.8" customHeight="1" x14ac:dyDescent="0.3"/>
    <row r="1209" ht="22.8" customHeight="1" x14ac:dyDescent="0.3"/>
    <row r="1210" ht="22.8" customHeight="1" x14ac:dyDescent="0.3"/>
    <row r="1211" ht="22.8" customHeight="1" x14ac:dyDescent="0.3"/>
    <row r="1212" ht="22.8" customHeight="1" x14ac:dyDescent="0.3"/>
    <row r="1213" ht="34.200000000000003" customHeight="1" x14ac:dyDescent="0.3"/>
    <row r="1214" ht="22.8" customHeight="1" x14ac:dyDescent="0.3"/>
    <row r="1215" ht="45.6" customHeight="1" x14ac:dyDescent="0.3"/>
    <row r="1216" ht="45.6" customHeight="1" x14ac:dyDescent="0.3"/>
    <row r="1217" ht="34.200000000000003" customHeight="1" x14ac:dyDescent="0.3"/>
    <row r="1218" ht="45.6" customHeight="1" x14ac:dyDescent="0.3"/>
    <row r="1219" ht="34.200000000000003" customHeight="1" x14ac:dyDescent="0.3"/>
    <row r="1220" ht="34.200000000000003" customHeight="1" x14ac:dyDescent="0.3"/>
    <row r="1221" ht="22.8" customHeight="1" x14ac:dyDescent="0.3"/>
    <row r="1222" ht="45.6" customHeight="1" x14ac:dyDescent="0.3"/>
    <row r="1223" ht="45.6" customHeight="1" x14ac:dyDescent="0.3"/>
    <row r="1224" ht="45.6" customHeight="1" x14ac:dyDescent="0.3"/>
    <row r="1225" ht="45.6" customHeight="1" x14ac:dyDescent="0.3"/>
    <row r="1226" ht="45.6" customHeight="1" x14ac:dyDescent="0.3"/>
    <row r="1227" ht="68.400000000000006" customHeight="1" x14ac:dyDescent="0.3"/>
    <row r="1228" ht="45.6" customHeight="1" x14ac:dyDescent="0.3"/>
    <row r="1229" ht="22.8" customHeight="1" x14ac:dyDescent="0.3"/>
    <row r="1230" ht="34.200000000000003" customHeight="1" x14ac:dyDescent="0.3"/>
    <row r="1231" ht="22.8" customHeight="1" x14ac:dyDescent="0.3"/>
    <row r="1232" ht="22.8" customHeight="1" x14ac:dyDescent="0.3"/>
    <row r="1233" ht="22.8" customHeight="1" x14ac:dyDescent="0.3"/>
    <row r="1234" ht="22.8" customHeight="1" x14ac:dyDescent="0.3"/>
    <row r="1235" ht="22.8" customHeight="1" x14ac:dyDescent="0.3"/>
    <row r="1237" ht="22.8" customHeight="1" x14ac:dyDescent="0.3"/>
    <row r="1238" ht="34.200000000000003" customHeight="1" x14ac:dyDescent="0.3"/>
    <row r="1239" ht="22.8" customHeight="1" x14ac:dyDescent="0.3"/>
    <row r="1241" ht="22.8" customHeight="1" x14ac:dyDescent="0.3"/>
    <row r="1242" ht="22.8" customHeight="1" x14ac:dyDescent="0.3"/>
    <row r="1243" ht="45.6" customHeight="1" x14ac:dyDescent="0.3"/>
    <row r="1244" ht="34.200000000000003" customHeight="1" x14ac:dyDescent="0.3"/>
    <row r="1247" ht="45.6" customHeight="1" x14ac:dyDescent="0.3"/>
    <row r="1248" ht="22.8" customHeight="1" x14ac:dyDescent="0.3"/>
    <row r="1249" ht="34.200000000000003" customHeight="1" x14ac:dyDescent="0.3"/>
    <row r="1250" ht="45.6" customHeight="1" x14ac:dyDescent="0.3"/>
    <row r="1251" ht="45.6" customHeight="1" x14ac:dyDescent="0.3"/>
    <row r="1252" ht="22.8" customHeight="1" x14ac:dyDescent="0.3"/>
    <row r="1253" ht="45.6" customHeight="1" x14ac:dyDescent="0.3"/>
    <row r="1254" ht="45.6" customHeight="1" x14ac:dyDescent="0.3"/>
    <row r="1255" ht="34.200000000000003" customHeight="1" x14ac:dyDescent="0.3"/>
    <row r="1256" ht="45.6" customHeight="1" x14ac:dyDescent="0.3"/>
    <row r="1257" ht="34.200000000000003" customHeight="1" x14ac:dyDescent="0.3"/>
    <row r="1258" ht="34.200000000000003" customHeight="1" x14ac:dyDescent="0.3"/>
    <row r="1259" ht="22.8" customHeight="1" x14ac:dyDescent="0.3"/>
    <row r="1260" ht="34.200000000000003" customHeight="1" x14ac:dyDescent="0.3"/>
    <row r="1261" ht="34.200000000000003" customHeight="1" x14ac:dyDescent="0.3"/>
    <row r="1263" ht="22.8" customHeight="1" x14ac:dyDescent="0.3"/>
    <row r="1264" ht="22.8" customHeight="1" x14ac:dyDescent="0.3"/>
    <row r="1265" ht="57" customHeight="1" x14ac:dyDescent="0.3"/>
    <row r="1266" ht="22.8" customHeight="1" x14ac:dyDescent="0.3"/>
    <row r="1267" ht="79.8" customHeight="1" x14ac:dyDescent="0.3"/>
    <row r="1268" ht="91.2" customHeight="1" x14ac:dyDescent="0.3"/>
    <row r="1269" ht="22.8" customHeight="1" x14ac:dyDescent="0.3"/>
    <row r="1270" ht="22.8" customHeight="1" x14ac:dyDescent="0.3"/>
    <row r="1271" ht="34.200000000000003" customHeight="1" x14ac:dyDescent="0.3"/>
    <row r="1272" ht="22.8" customHeight="1" x14ac:dyDescent="0.3"/>
    <row r="1273" ht="22.8" customHeight="1" x14ac:dyDescent="0.3"/>
    <row r="1274" ht="22.8" customHeight="1" x14ac:dyDescent="0.3"/>
    <row r="1275" ht="22.8" customHeight="1" x14ac:dyDescent="0.3"/>
    <row r="1276" ht="34.200000000000003" customHeight="1" x14ac:dyDescent="0.3"/>
    <row r="1277" ht="34.200000000000003" customHeight="1" x14ac:dyDescent="0.3"/>
    <row r="1278" ht="22.8" customHeight="1" x14ac:dyDescent="0.3"/>
    <row r="1279" ht="34.200000000000003" customHeight="1" x14ac:dyDescent="0.3"/>
    <row r="1280" ht="34.200000000000003" customHeight="1" x14ac:dyDescent="0.3"/>
    <row r="1281" ht="91.2" customHeight="1" x14ac:dyDescent="0.3"/>
    <row r="1282" ht="22.8" customHeight="1" x14ac:dyDescent="0.3"/>
    <row r="1283" ht="22.8" customHeight="1" x14ac:dyDescent="0.3"/>
    <row r="1284" ht="34.200000000000003" customHeight="1" x14ac:dyDescent="0.3"/>
    <row r="1285" ht="34.200000000000003" customHeight="1" x14ac:dyDescent="0.3"/>
    <row r="1286" ht="22.8" customHeight="1" x14ac:dyDescent="0.3"/>
    <row r="1287" ht="34.200000000000003" customHeight="1" x14ac:dyDescent="0.3"/>
    <row r="1288" ht="34.200000000000003" customHeight="1" x14ac:dyDescent="0.3"/>
    <row r="1289" ht="22.8" customHeight="1" x14ac:dyDescent="0.3"/>
    <row r="1290" ht="34.200000000000003" customHeight="1" x14ac:dyDescent="0.3"/>
    <row r="1291" ht="22.8" customHeight="1" x14ac:dyDescent="0.3"/>
    <row r="1293" ht="22.8" customHeight="1" x14ac:dyDescent="0.3"/>
    <row r="1294" ht="45.6" customHeight="1" x14ac:dyDescent="0.3"/>
    <row r="1295" ht="57" customHeight="1" x14ac:dyDescent="0.3"/>
    <row r="1296" ht="22.8" customHeight="1" x14ac:dyDescent="0.3"/>
    <row r="1298" ht="22.8" customHeight="1" x14ac:dyDescent="0.3"/>
    <row r="1299" ht="22.8" customHeight="1" x14ac:dyDescent="0.3"/>
    <row r="1300" ht="34.200000000000003" customHeight="1" x14ac:dyDescent="0.3"/>
    <row r="1301" ht="22.8" customHeight="1" x14ac:dyDescent="0.3"/>
    <row r="1302" ht="22.8" customHeight="1" x14ac:dyDescent="0.3"/>
    <row r="1303" ht="22.8" customHeight="1" x14ac:dyDescent="0.3"/>
    <row r="1304" ht="34.200000000000003" customHeight="1" x14ac:dyDescent="0.3"/>
    <row r="1305" ht="45.6" customHeight="1" x14ac:dyDescent="0.3"/>
    <row r="1306" ht="57" customHeight="1" x14ac:dyDescent="0.3"/>
    <row r="1307" ht="45.6" customHeight="1" x14ac:dyDescent="0.3"/>
    <row r="1308" ht="34.200000000000003" customHeight="1" x14ac:dyDescent="0.3"/>
    <row r="1309" ht="45.6" customHeight="1" x14ac:dyDescent="0.3"/>
    <row r="1310" ht="45.6" customHeight="1" x14ac:dyDescent="0.3"/>
    <row r="1311" ht="34.200000000000003" customHeight="1" x14ac:dyDescent="0.3"/>
    <row r="1312" ht="45.6" customHeight="1" x14ac:dyDescent="0.3"/>
    <row r="1313" ht="45.6" customHeight="1" x14ac:dyDescent="0.3"/>
    <row r="1314" ht="45.6" customHeight="1" x14ac:dyDescent="0.3"/>
    <row r="1315" ht="68.400000000000006" customHeight="1" x14ac:dyDescent="0.3"/>
    <row r="1316" ht="45.6" customHeight="1" x14ac:dyDescent="0.3"/>
    <row r="1318" ht="34.200000000000003" customHeight="1" x14ac:dyDescent="0.3"/>
    <row r="1319" ht="34.200000000000003" customHeight="1" x14ac:dyDescent="0.3"/>
    <row r="1320" ht="45.6" customHeight="1" x14ac:dyDescent="0.3"/>
    <row r="1321" ht="45.6" customHeight="1" x14ac:dyDescent="0.3"/>
    <row r="1322" ht="22.8" customHeight="1" x14ac:dyDescent="0.3"/>
    <row r="1323" ht="34.200000000000003" customHeight="1" x14ac:dyDescent="0.3"/>
    <row r="1324" ht="68.400000000000006" customHeight="1" x14ac:dyDescent="0.3"/>
    <row r="1325" ht="34.200000000000003" customHeight="1" x14ac:dyDescent="0.3"/>
    <row r="1326" ht="22.8" customHeight="1" x14ac:dyDescent="0.3"/>
    <row r="1327" ht="45.6" customHeight="1" x14ac:dyDescent="0.3"/>
    <row r="1328" ht="34.200000000000003" customHeight="1" x14ac:dyDescent="0.3"/>
    <row r="1329" ht="34.200000000000003" customHeight="1" x14ac:dyDescent="0.3"/>
    <row r="1330" ht="45.6" customHeight="1" x14ac:dyDescent="0.3"/>
    <row r="1331" ht="91.2" customHeight="1" x14ac:dyDescent="0.3"/>
    <row r="1332" ht="34.200000000000003" customHeight="1" x14ac:dyDescent="0.3"/>
    <row r="1333" ht="34.200000000000003" customHeight="1" x14ac:dyDescent="0.3"/>
    <row r="1334" ht="34.200000000000003" customHeight="1" x14ac:dyDescent="0.3"/>
    <row r="1335" ht="34.200000000000003" customHeight="1" x14ac:dyDescent="0.3"/>
    <row r="1336" ht="45.6" customHeight="1" x14ac:dyDescent="0.3"/>
    <row r="1337" ht="22.8" customHeight="1" x14ac:dyDescent="0.3"/>
    <row r="1338" ht="45.6" customHeight="1" x14ac:dyDescent="0.3"/>
    <row r="1339" ht="22.8" customHeight="1" x14ac:dyDescent="0.3"/>
    <row r="1340" ht="22.8" customHeight="1" x14ac:dyDescent="0.3"/>
    <row r="1341" ht="34.200000000000003" customHeight="1" x14ac:dyDescent="0.3"/>
    <row r="1342" ht="22.8" customHeight="1" x14ac:dyDescent="0.3"/>
    <row r="1343" ht="22.8" customHeight="1" x14ac:dyDescent="0.3"/>
    <row r="1344" ht="22.8" customHeight="1" x14ac:dyDescent="0.3"/>
    <row r="1345" ht="22.8" customHeight="1" x14ac:dyDescent="0.3"/>
    <row r="1346" ht="22.8" customHeight="1" x14ac:dyDescent="0.3"/>
    <row r="1347" ht="22.8" customHeight="1" x14ac:dyDescent="0.3"/>
    <row r="1348" ht="22.8" customHeight="1" x14ac:dyDescent="0.3"/>
    <row r="1349" ht="45.6" customHeight="1" x14ac:dyDescent="0.3"/>
    <row r="1350" ht="22.8" customHeight="1" x14ac:dyDescent="0.3"/>
    <row r="1351" ht="22.8" customHeight="1" x14ac:dyDescent="0.3"/>
    <row r="1352" ht="22.8" customHeight="1" x14ac:dyDescent="0.3"/>
    <row r="1353" ht="22.8" customHeight="1" x14ac:dyDescent="0.3"/>
    <row r="1354" ht="22.8" customHeight="1" x14ac:dyDescent="0.3"/>
    <row r="1355" ht="22.8" customHeight="1" x14ac:dyDescent="0.3"/>
    <row r="1357" ht="34.200000000000003" customHeight="1" x14ac:dyDescent="0.3"/>
    <row r="1358" ht="22.8" customHeight="1" x14ac:dyDescent="0.3"/>
    <row r="1359" ht="22.8" customHeight="1" x14ac:dyDescent="0.3"/>
    <row r="1362" ht="22.8" customHeight="1" x14ac:dyDescent="0.3"/>
    <row r="1364" ht="22.8" customHeight="1" x14ac:dyDescent="0.3"/>
    <row r="1366" ht="22.8" customHeight="1" x14ac:dyDescent="0.3"/>
    <row r="1367" ht="34.200000000000003" customHeight="1" x14ac:dyDescent="0.3"/>
    <row r="1368" ht="22.8" customHeight="1" x14ac:dyDescent="0.3"/>
    <row r="1369" ht="34.200000000000003" customHeight="1" x14ac:dyDescent="0.3"/>
    <row r="1370" ht="22.8" customHeight="1" x14ac:dyDescent="0.3"/>
    <row r="1371" ht="22.8" customHeight="1" x14ac:dyDescent="0.3"/>
    <row r="1372" ht="22.8" customHeight="1" x14ac:dyDescent="0.3"/>
    <row r="1373" ht="45.6" customHeight="1" x14ac:dyDescent="0.3"/>
    <row r="1375" ht="22.8" customHeight="1" x14ac:dyDescent="0.3"/>
    <row r="1376" ht="22.8" customHeight="1" x14ac:dyDescent="0.3"/>
    <row r="1377" ht="22.8" customHeight="1" x14ac:dyDescent="0.3"/>
    <row r="1378" ht="22.8" customHeight="1" x14ac:dyDescent="0.3"/>
    <row r="1379" ht="34.200000000000003" customHeight="1" x14ac:dyDescent="0.3"/>
    <row r="1380" ht="34.200000000000003" customHeight="1" x14ac:dyDescent="0.3"/>
    <row r="1381" ht="22.8" customHeight="1" x14ac:dyDescent="0.3"/>
    <row r="1382" ht="22.8" customHeight="1" x14ac:dyDescent="0.3"/>
    <row r="1384" ht="22.8" customHeight="1" x14ac:dyDescent="0.3"/>
    <row r="1385" ht="45.6" customHeight="1" x14ac:dyDescent="0.3"/>
    <row r="1386" ht="22.8" customHeight="1" x14ac:dyDescent="0.3"/>
    <row r="1387" ht="22.8" customHeight="1" x14ac:dyDescent="0.3"/>
    <row r="1388" ht="22.8" customHeight="1" x14ac:dyDescent="0.3"/>
    <row r="1389" ht="45.6" customHeight="1" x14ac:dyDescent="0.3"/>
    <row r="1390" ht="34.200000000000003" customHeight="1" x14ac:dyDescent="0.3"/>
    <row r="1391" ht="34.200000000000003" customHeight="1" x14ac:dyDescent="0.3"/>
    <row r="1392" ht="22.8" customHeight="1" x14ac:dyDescent="0.3"/>
    <row r="1394" ht="22.8" customHeight="1" x14ac:dyDescent="0.3"/>
    <row r="1395" ht="22.8" customHeight="1" x14ac:dyDescent="0.3"/>
    <row r="1396" ht="22.8" customHeight="1" x14ac:dyDescent="0.3"/>
    <row r="1397" ht="22.8" customHeight="1" x14ac:dyDescent="0.3"/>
    <row r="1398" ht="68.400000000000006" customHeight="1" x14ac:dyDescent="0.3"/>
    <row r="1399" ht="102.6" customHeight="1" x14ac:dyDescent="0.3"/>
    <row r="1400" ht="68.400000000000006" customHeight="1" x14ac:dyDescent="0.3"/>
    <row r="1401" ht="34.200000000000003" customHeight="1" x14ac:dyDescent="0.3"/>
    <row r="1402" ht="34.200000000000003" customHeight="1" x14ac:dyDescent="0.3"/>
    <row r="1403" ht="22.8" customHeight="1" x14ac:dyDescent="0.3"/>
    <row r="1404" ht="34.200000000000003" customHeight="1" x14ac:dyDescent="0.3"/>
    <row r="1405" ht="45.6" customHeight="1" x14ac:dyDescent="0.3"/>
    <row r="1406" ht="45.6" customHeight="1" x14ac:dyDescent="0.3"/>
    <row r="1407" ht="57" customHeight="1" x14ac:dyDescent="0.3"/>
    <row r="1408" ht="34.200000000000003" customHeight="1" x14ac:dyDescent="0.3"/>
    <row r="1409" ht="45.6" customHeight="1" x14ac:dyDescent="0.3"/>
    <row r="1410" ht="57" customHeight="1" x14ac:dyDescent="0.3"/>
    <row r="1411" ht="22.8" customHeight="1" x14ac:dyDescent="0.3"/>
    <row r="1412" ht="22.8" customHeight="1" x14ac:dyDescent="0.3"/>
    <row r="1413" ht="34.200000000000003" customHeight="1" x14ac:dyDescent="0.3"/>
    <row r="1414" ht="45.6" customHeight="1" x14ac:dyDescent="0.3"/>
    <row r="1415" ht="22.8" customHeight="1" x14ac:dyDescent="0.3"/>
    <row r="1416" ht="34.200000000000003" customHeight="1" x14ac:dyDescent="0.3"/>
    <row r="1417" ht="34.200000000000003" customHeight="1" x14ac:dyDescent="0.3"/>
    <row r="1418" ht="34.200000000000003" customHeight="1" x14ac:dyDescent="0.3"/>
    <row r="1419" ht="34.200000000000003" customHeight="1" x14ac:dyDescent="0.3"/>
    <row r="1420" ht="34.200000000000003" customHeight="1" x14ac:dyDescent="0.3"/>
    <row r="1421" ht="45.6" customHeight="1" x14ac:dyDescent="0.3"/>
    <row r="1422" ht="34.200000000000003" customHeight="1" x14ac:dyDescent="0.3"/>
    <row r="1423" ht="34.200000000000003" customHeight="1" x14ac:dyDescent="0.3"/>
    <row r="1424" ht="45.6" customHeight="1" x14ac:dyDescent="0.3"/>
    <row r="1425" ht="34.200000000000003" customHeight="1" x14ac:dyDescent="0.3"/>
    <row r="1426" ht="34.200000000000003" customHeight="1" x14ac:dyDescent="0.3"/>
    <row r="1427" ht="45.6" customHeight="1" x14ac:dyDescent="0.3"/>
    <row r="1428" ht="45.6" customHeight="1" x14ac:dyDescent="0.3"/>
    <row r="1429" ht="45.6" customHeight="1" x14ac:dyDescent="0.3"/>
    <row r="1430" ht="34.200000000000003" customHeight="1" x14ac:dyDescent="0.3"/>
    <row r="1431" ht="45.6" customHeight="1" x14ac:dyDescent="0.3"/>
    <row r="1432" ht="57" customHeight="1" x14ac:dyDescent="0.3"/>
    <row r="1433" ht="45.6" customHeight="1" x14ac:dyDescent="0.3"/>
    <row r="1434" ht="68.400000000000006" customHeight="1" x14ac:dyDescent="0.3"/>
    <row r="1435" ht="57" customHeight="1" x14ac:dyDescent="0.3"/>
    <row r="1436" ht="22.8" customHeight="1" x14ac:dyDescent="0.3"/>
    <row r="1437" ht="34.200000000000003" customHeight="1" x14ac:dyDescent="0.3"/>
    <row r="1438" ht="34.200000000000003" customHeight="1" x14ac:dyDescent="0.3"/>
    <row r="1439" ht="34.200000000000003" customHeight="1" x14ac:dyDescent="0.3"/>
    <row r="1440" ht="57" customHeight="1" x14ac:dyDescent="0.3"/>
    <row r="1441" ht="34.200000000000003" customHeight="1" x14ac:dyDescent="0.3"/>
    <row r="1442" ht="34.200000000000003" customHeight="1" x14ac:dyDescent="0.3"/>
    <row r="1443" ht="22.8" customHeight="1" x14ac:dyDescent="0.3"/>
    <row r="1444" ht="68.400000000000006" customHeight="1" x14ac:dyDescent="0.3"/>
    <row r="1445" ht="45.6" customHeight="1" x14ac:dyDescent="0.3"/>
    <row r="1446" ht="34.200000000000003" customHeight="1" x14ac:dyDescent="0.3"/>
    <row r="1447" ht="34.200000000000003" customHeight="1" x14ac:dyDescent="0.3"/>
    <row r="1448" ht="34.200000000000003" customHeight="1" x14ac:dyDescent="0.3"/>
    <row r="1449" ht="22.8" customHeight="1" x14ac:dyDescent="0.3"/>
    <row r="1450" ht="34.200000000000003" customHeight="1" x14ac:dyDescent="0.3"/>
    <row r="1451" ht="45.6" customHeight="1" x14ac:dyDescent="0.3"/>
    <row r="1452" ht="68.400000000000006" customHeight="1" x14ac:dyDescent="0.3"/>
    <row r="1453" ht="68.400000000000006" customHeight="1" x14ac:dyDescent="0.3"/>
    <row r="1454" ht="68.400000000000006" customHeight="1" x14ac:dyDescent="0.3"/>
    <row r="1455" ht="34.200000000000003" customHeight="1" x14ac:dyDescent="0.3"/>
    <row r="1456" ht="45.6" customHeight="1" x14ac:dyDescent="0.3"/>
    <row r="1457" ht="57" customHeight="1" x14ac:dyDescent="0.3"/>
    <row r="1458" ht="57" customHeight="1" x14ac:dyDescent="0.3"/>
    <row r="1459" ht="34.200000000000003" customHeight="1" x14ac:dyDescent="0.3"/>
    <row r="1460" ht="45.6" customHeight="1" x14ac:dyDescent="0.3"/>
    <row r="1461" ht="79.8" customHeight="1" x14ac:dyDescent="0.3"/>
    <row r="1462" ht="57" customHeight="1" x14ac:dyDescent="0.3"/>
    <row r="1463" ht="57" customHeight="1" x14ac:dyDescent="0.3"/>
    <row r="1464" ht="45.6" customHeight="1" x14ac:dyDescent="0.3"/>
    <row r="1465" ht="57" customHeight="1" x14ac:dyDescent="0.3"/>
    <row r="1466" ht="22.8" customHeight="1" x14ac:dyDescent="0.3"/>
    <row r="1467" ht="34.200000000000003" customHeight="1" x14ac:dyDescent="0.3"/>
    <row r="1468" ht="34.200000000000003" customHeight="1" x14ac:dyDescent="0.3"/>
    <row r="1469" ht="34.200000000000003" customHeight="1" x14ac:dyDescent="0.3"/>
    <row r="1470" ht="34.200000000000003" customHeight="1" x14ac:dyDescent="0.3"/>
    <row r="1471" ht="34.200000000000003" customHeight="1" x14ac:dyDescent="0.3"/>
    <row r="1472" ht="34.200000000000003" customHeight="1" x14ac:dyDescent="0.3"/>
    <row r="1473" ht="22.8" customHeight="1" x14ac:dyDescent="0.3"/>
    <row r="1474" ht="57" customHeight="1" x14ac:dyDescent="0.3"/>
    <row r="1475" ht="34.200000000000003" customHeight="1" x14ac:dyDescent="0.3"/>
    <row r="1476" ht="45.6" customHeight="1" x14ac:dyDescent="0.3"/>
    <row r="1477" ht="45.6" customHeight="1" x14ac:dyDescent="0.3"/>
    <row r="1478" ht="45.6" customHeight="1" x14ac:dyDescent="0.3"/>
    <row r="1479" ht="34.200000000000003" customHeight="1" x14ac:dyDescent="0.3"/>
    <row r="1480" ht="45.6" customHeight="1" x14ac:dyDescent="0.3"/>
    <row r="1481" ht="45.6" customHeight="1" x14ac:dyDescent="0.3"/>
    <row r="1482" ht="45.6" customHeight="1" x14ac:dyDescent="0.3"/>
    <row r="1484" ht="22.8" customHeight="1" x14ac:dyDescent="0.3"/>
    <row r="1485" ht="22.8" customHeight="1" x14ac:dyDescent="0.3"/>
    <row r="1486" ht="22.8" customHeight="1" x14ac:dyDescent="0.3"/>
    <row r="1487" ht="45.6" customHeight="1" x14ac:dyDescent="0.3"/>
    <row r="1488" ht="34.200000000000003" customHeight="1" x14ac:dyDescent="0.3"/>
    <row r="1489" ht="34.200000000000003" customHeight="1" x14ac:dyDescent="0.3"/>
    <row r="1490" ht="45.6" customHeight="1" x14ac:dyDescent="0.3"/>
    <row r="1491" ht="34.200000000000003" customHeight="1" x14ac:dyDescent="0.3"/>
    <row r="1492" ht="22.8" customHeight="1" x14ac:dyDescent="0.3"/>
    <row r="1493" ht="34.200000000000003" customHeight="1" x14ac:dyDescent="0.3"/>
    <row r="1494" ht="45.6" customHeight="1" x14ac:dyDescent="0.3"/>
    <row r="1495" ht="45.6" customHeight="1" x14ac:dyDescent="0.3"/>
    <row r="1496" ht="45.6" customHeight="1" x14ac:dyDescent="0.3"/>
    <row r="1497" ht="34.200000000000003" customHeight="1" x14ac:dyDescent="0.3"/>
    <row r="1498" ht="34.200000000000003" customHeight="1" x14ac:dyDescent="0.3"/>
    <row r="1499" ht="22.8" customHeight="1" x14ac:dyDescent="0.3"/>
    <row r="1500" ht="34.200000000000003" customHeight="1" x14ac:dyDescent="0.3"/>
    <row r="1501" ht="34.200000000000003" customHeight="1" x14ac:dyDescent="0.3"/>
    <row r="1502" ht="34.200000000000003" customHeight="1" x14ac:dyDescent="0.3"/>
    <row r="1503" ht="34.200000000000003" customHeight="1" x14ac:dyDescent="0.3"/>
    <row r="1504" ht="45.6" customHeight="1" x14ac:dyDescent="0.3"/>
    <row r="1505" ht="45.6" customHeight="1" x14ac:dyDescent="0.3"/>
    <row r="1506" ht="45.6" customHeight="1" x14ac:dyDescent="0.3"/>
    <row r="1507" ht="22.8" customHeight="1" x14ac:dyDescent="0.3"/>
    <row r="1508" ht="22.8" customHeight="1" x14ac:dyDescent="0.3"/>
    <row r="1509" ht="34.200000000000003" customHeight="1" x14ac:dyDescent="0.3"/>
    <row r="1510" ht="34.200000000000003" customHeight="1" x14ac:dyDescent="0.3"/>
    <row r="1511" ht="34.200000000000003" customHeight="1" x14ac:dyDescent="0.3"/>
    <row r="1512" ht="45.6" customHeight="1" x14ac:dyDescent="0.3"/>
    <row r="1513" ht="57" customHeight="1" x14ac:dyDescent="0.3"/>
    <row r="1514" ht="57" customHeight="1" x14ac:dyDescent="0.3"/>
    <row r="1515" ht="57" customHeight="1" x14ac:dyDescent="0.3"/>
    <row r="1516" ht="22.8" customHeight="1" x14ac:dyDescent="0.3"/>
    <row r="1517" ht="34.200000000000003" customHeight="1" x14ac:dyDescent="0.3"/>
    <row r="1518" ht="34.200000000000003" customHeight="1" x14ac:dyDescent="0.3"/>
    <row r="1519" ht="34.200000000000003" customHeight="1" x14ac:dyDescent="0.3"/>
    <row r="1520" ht="57" customHeight="1" x14ac:dyDescent="0.3"/>
    <row r="1521" ht="57" customHeight="1" x14ac:dyDescent="0.3"/>
    <row r="1522" ht="57" customHeight="1" x14ac:dyDescent="0.3"/>
    <row r="1523" ht="68.400000000000006" customHeight="1" x14ac:dyDescent="0.3"/>
    <row r="1524" ht="68.400000000000006" customHeight="1" x14ac:dyDescent="0.3"/>
    <row r="1525" ht="34.200000000000003" customHeight="1" x14ac:dyDescent="0.3"/>
    <row r="1526" ht="45.6" customHeight="1" x14ac:dyDescent="0.3"/>
    <row r="1527" ht="45.6" customHeight="1" x14ac:dyDescent="0.3"/>
    <row r="1528" ht="22.8" customHeight="1" x14ac:dyDescent="0.3"/>
    <row r="1529" ht="34.200000000000003" customHeight="1" x14ac:dyDescent="0.3"/>
    <row r="1530" ht="45.6" customHeight="1" x14ac:dyDescent="0.3"/>
    <row r="1531" ht="34.200000000000003" customHeight="1" x14ac:dyDescent="0.3"/>
    <row r="1532" ht="45.6" customHeight="1" x14ac:dyDescent="0.3"/>
    <row r="1533" ht="34.200000000000003" customHeight="1" x14ac:dyDescent="0.3"/>
    <row r="1534" ht="45.6" customHeight="1" x14ac:dyDescent="0.3"/>
    <row r="1535" ht="34.200000000000003" customHeight="1" x14ac:dyDescent="0.3"/>
    <row r="1536" ht="45.6" customHeight="1" x14ac:dyDescent="0.3"/>
    <row r="1537" ht="22.8" customHeight="1" x14ac:dyDescent="0.3"/>
    <row r="1538" ht="22.8" customHeight="1" x14ac:dyDescent="0.3"/>
    <row r="1539" ht="22.8" customHeight="1" x14ac:dyDescent="0.3"/>
    <row r="1540" ht="34.200000000000003" customHeight="1" x14ac:dyDescent="0.3"/>
    <row r="1541" ht="22.8" customHeight="1" x14ac:dyDescent="0.3"/>
    <row r="1542" ht="22.8" customHeight="1" x14ac:dyDescent="0.3"/>
    <row r="1543" ht="34.200000000000003" customHeight="1" x14ac:dyDescent="0.3"/>
    <row r="1544" ht="34.200000000000003" customHeight="1" x14ac:dyDescent="0.3"/>
    <row r="1545" ht="34.200000000000003" customHeight="1" x14ac:dyDescent="0.3"/>
    <row r="1546" ht="45.6" customHeight="1" x14ac:dyDescent="0.3"/>
    <row r="1547" ht="45.6" customHeight="1" x14ac:dyDescent="0.3"/>
    <row r="1548" ht="34.200000000000003" customHeight="1" x14ac:dyDescent="0.3"/>
    <row r="1549" ht="22.8" customHeight="1" x14ac:dyDescent="0.3"/>
    <row r="1550" ht="22.8" customHeight="1" x14ac:dyDescent="0.3"/>
    <row r="1551" ht="57" customHeight="1" x14ac:dyDescent="0.3"/>
    <row r="1552" ht="57" customHeight="1" x14ac:dyDescent="0.3"/>
    <row r="1553" ht="22.8" customHeight="1" x14ac:dyDescent="0.3"/>
    <row r="1554" ht="34.200000000000003" customHeight="1" x14ac:dyDescent="0.3"/>
    <row r="1555" ht="34.200000000000003" customHeight="1" x14ac:dyDescent="0.3"/>
    <row r="1556" ht="34.200000000000003" customHeight="1" x14ac:dyDescent="0.3"/>
    <row r="1557" ht="45.6" customHeight="1" x14ac:dyDescent="0.3"/>
    <row r="1558" ht="45.6" customHeight="1" x14ac:dyDescent="0.3"/>
    <row r="1559" ht="57" customHeight="1" x14ac:dyDescent="0.3"/>
    <row r="1560" ht="79.8" customHeight="1" x14ac:dyDescent="0.3"/>
    <row r="1561" ht="34.200000000000003" customHeight="1" x14ac:dyDescent="0.3"/>
    <row r="1562" ht="68.400000000000006" customHeight="1" x14ac:dyDescent="0.3"/>
    <row r="1563" ht="34.200000000000003" customHeight="1" x14ac:dyDescent="0.3"/>
    <row r="1564" ht="45.6" customHeight="1" x14ac:dyDescent="0.3"/>
    <row r="1565" ht="34.200000000000003" customHeight="1" x14ac:dyDescent="0.3"/>
    <row r="1566" ht="45.6" customHeight="1" x14ac:dyDescent="0.3"/>
    <row r="1567" ht="22.8" customHeight="1" x14ac:dyDescent="0.3"/>
    <row r="1568" ht="22.8" customHeight="1" x14ac:dyDescent="0.3"/>
    <row r="1569" ht="45.6" customHeight="1" x14ac:dyDescent="0.3"/>
    <row r="1570" ht="68.400000000000006" customHeight="1" x14ac:dyDescent="0.3"/>
    <row r="1571" ht="91.2" customHeight="1" x14ac:dyDescent="0.3"/>
    <row r="1572" ht="34.200000000000003" customHeight="1" x14ac:dyDescent="0.3"/>
    <row r="1573" ht="45.6" customHeight="1" x14ac:dyDescent="0.3"/>
    <row r="1574" ht="57" customHeight="1" x14ac:dyDescent="0.3"/>
    <row r="1575" ht="79.8" customHeight="1" x14ac:dyDescent="0.3"/>
    <row r="1576" ht="57" customHeight="1" x14ac:dyDescent="0.3"/>
    <row r="1577" ht="91.2" customHeight="1" x14ac:dyDescent="0.3"/>
    <row r="1578" ht="102.6" customHeight="1" x14ac:dyDescent="0.3"/>
    <row r="1579" ht="91.2" customHeight="1" x14ac:dyDescent="0.3"/>
    <row r="1580" ht="102.6" customHeight="1" x14ac:dyDescent="0.3"/>
    <row r="1581" ht="91.2" customHeight="1" x14ac:dyDescent="0.3"/>
    <row r="1582" ht="45.6" customHeight="1" x14ac:dyDescent="0.3"/>
    <row r="1583" ht="45.6" customHeight="1" x14ac:dyDescent="0.3"/>
    <row r="1584" ht="45.6" customHeight="1" x14ac:dyDescent="0.3"/>
    <row r="1585" ht="34.200000000000003" customHeight="1" x14ac:dyDescent="0.3"/>
    <row r="1586" ht="22.8" customHeight="1" x14ac:dyDescent="0.3"/>
    <row r="1588" ht="34.200000000000003" customHeight="1" x14ac:dyDescent="0.3"/>
    <row r="1589" ht="45.6" customHeight="1" x14ac:dyDescent="0.3"/>
    <row r="1590" ht="45.6" customHeight="1" x14ac:dyDescent="0.3"/>
    <row r="1591" ht="34.200000000000003" customHeight="1" x14ac:dyDescent="0.3"/>
    <row r="1592" ht="45.6" customHeight="1" x14ac:dyDescent="0.3"/>
    <row r="1593" ht="34.200000000000003" customHeight="1" x14ac:dyDescent="0.3"/>
    <row r="1594" ht="34.200000000000003" customHeight="1" x14ac:dyDescent="0.3"/>
    <row r="1595" ht="68.400000000000006" customHeight="1" x14ac:dyDescent="0.3"/>
    <row r="1596" ht="45.6" customHeight="1" x14ac:dyDescent="0.3"/>
    <row r="1597" ht="57" customHeight="1" x14ac:dyDescent="0.3"/>
    <row r="1598" ht="57" customHeight="1" x14ac:dyDescent="0.3"/>
    <row r="1599" ht="22.8" customHeight="1" x14ac:dyDescent="0.3"/>
    <row r="1600" ht="22.8" customHeight="1" x14ac:dyDescent="0.3"/>
    <row r="1601" ht="22.8" customHeight="1" x14ac:dyDescent="0.3"/>
    <row r="1602" ht="22.8" customHeight="1" x14ac:dyDescent="0.3"/>
    <row r="1603" ht="34.200000000000003" customHeight="1" x14ac:dyDescent="0.3"/>
    <row r="1604" ht="34.200000000000003" customHeight="1" x14ac:dyDescent="0.3"/>
    <row r="1605" ht="45.6" customHeight="1" x14ac:dyDescent="0.3"/>
    <row r="1606" ht="34.200000000000003" customHeight="1" x14ac:dyDescent="0.3"/>
    <row r="1607" ht="34.200000000000003" customHeight="1" x14ac:dyDescent="0.3"/>
    <row r="1608" ht="34.200000000000003" customHeight="1" x14ac:dyDescent="0.3"/>
    <row r="1609" ht="22.8" customHeight="1" x14ac:dyDescent="0.3"/>
    <row r="1610" ht="34.200000000000003" customHeight="1" x14ac:dyDescent="0.3"/>
    <row r="1611" ht="34.200000000000003" customHeight="1" x14ac:dyDescent="0.3"/>
    <row r="1612" ht="34.200000000000003" customHeight="1" x14ac:dyDescent="0.3"/>
    <row r="1613" ht="57" customHeight="1" x14ac:dyDescent="0.3"/>
    <row r="1614" ht="45.6" customHeight="1" x14ac:dyDescent="0.3"/>
    <row r="1615" ht="34.200000000000003" customHeight="1" x14ac:dyDescent="0.3"/>
    <row r="1616" ht="45.6" customHeight="1" x14ac:dyDescent="0.3"/>
    <row r="1617" ht="34.200000000000003" customHeight="1" x14ac:dyDescent="0.3"/>
    <row r="1618" ht="22.8" customHeight="1" x14ac:dyDescent="0.3"/>
    <row r="1619" ht="22.8" customHeight="1" x14ac:dyDescent="0.3"/>
    <row r="1620" ht="34.200000000000003" customHeight="1" x14ac:dyDescent="0.3"/>
    <row r="1621" ht="22.8" customHeight="1" x14ac:dyDescent="0.3"/>
    <row r="1622" ht="45.6" customHeight="1" x14ac:dyDescent="0.3"/>
    <row r="1623" ht="57" customHeight="1" x14ac:dyDescent="0.3"/>
    <row r="1624" ht="57" customHeight="1" x14ac:dyDescent="0.3"/>
    <row r="1625" ht="34.200000000000003" customHeight="1" x14ac:dyDescent="0.3"/>
    <row r="1626" ht="34.200000000000003" customHeight="1" x14ac:dyDescent="0.3"/>
    <row r="1627" ht="22.8" customHeight="1" x14ac:dyDescent="0.3"/>
    <row r="1628" ht="34.200000000000003" customHeight="1" x14ac:dyDescent="0.3"/>
    <row r="1629" ht="45.6" customHeight="1" x14ac:dyDescent="0.3"/>
    <row r="1630" ht="34.200000000000003" customHeight="1" x14ac:dyDescent="0.3"/>
    <row r="1631" ht="34.200000000000003" customHeight="1" x14ac:dyDescent="0.3"/>
    <row r="1632" ht="45.6" customHeight="1" x14ac:dyDescent="0.3"/>
    <row r="1633" ht="34.200000000000003" customHeight="1" x14ac:dyDescent="0.3"/>
    <row r="1634" ht="45.6" customHeight="1" x14ac:dyDescent="0.3"/>
    <row r="1635" ht="57" customHeight="1" x14ac:dyDescent="0.3"/>
    <row r="1636" ht="22.8" customHeight="1" x14ac:dyDescent="0.3"/>
    <row r="1637" ht="22.8" customHeight="1" x14ac:dyDescent="0.3"/>
    <row r="1638" ht="34.200000000000003" customHeight="1" x14ac:dyDescent="0.3"/>
    <row r="1639" ht="34.200000000000003" customHeight="1" x14ac:dyDescent="0.3"/>
    <row r="1640" ht="34.200000000000003" customHeight="1" x14ac:dyDescent="0.3"/>
    <row r="1641" ht="34.200000000000003" customHeight="1" x14ac:dyDescent="0.3"/>
    <row r="1642" ht="45.6" customHeight="1" x14ac:dyDescent="0.3"/>
    <row r="1643" ht="22.8" customHeight="1" x14ac:dyDescent="0.3"/>
    <row r="1644" ht="68.400000000000006" customHeight="1" x14ac:dyDescent="0.3"/>
    <row r="1645" ht="22.8" customHeight="1" x14ac:dyDescent="0.3"/>
    <row r="1646" ht="22.8" customHeight="1" x14ac:dyDescent="0.3"/>
    <row r="1647" ht="34.200000000000003" customHeight="1" x14ac:dyDescent="0.3"/>
    <row r="1648" ht="34.200000000000003" customHeight="1" x14ac:dyDescent="0.3"/>
    <row r="1649" ht="34.200000000000003" customHeight="1" x14ac:dyDescent="0.3"/>
    <row r="1650" ht="45.6" customHeight="1" x14ac:dyDescent="0.3"/>
    <row r="1651" ht="34.200000000000003" customHeight="1" x14ac:dyDescent="0.3"/>
    <row r="1652" ht="68.400000000000006" customHeight="1" x14ac:dyDescent="0.3"/>
    <row r="1653" ht="68.400000000000006" customHeight="1" x14ac:dyDescent="0.3"/>
    <row r="1654" ht="57" customHeight="1" x14ac:dyDescent="0.3"/>
    <row r="1655" ht="45.6" customHeight="1" x14ac:dyDescent="0.3"/>
    <row r="1656" ht="57" customHeight="1" x14ac:dyDescent="0.3"/>
    <row r="1657" ht="22.8" customHeight="1" x14ac:dyDescent="0.3"/>
    <row r="1658" ht="34.200000000000003" customHeight="1" x14ac:dyDescent="0.3"/>
    <row r="1659" ht="57" customHeight="1" x14ac:dyDescent="0.3"/>
    <row r="1660" ht="45.6" customHeight="1" x14ac:dyDescent="0.3"/>
    <row r="1661" ht="34.200000000000003" customHeight="1" x14ac:dyDescent="0.3"/>
    <row r="1662" ht="68.400000000000006" customHeight="1" x14ac:dyDescent="0.3"/>
    <row r="1663" ht="57" customHeight="1" x14ac:dyDescent="0.3"/>
    <row r="1664" ht="57" customHeight="1" x14ac:dyDescent="0.3"/>
    <row r="1665" ht="57" customHeight="1" x14ac:dyDescent="0.3"/>
    <row r="1666" ht="45.6" customHeight="1" x14ac:dyDescent="0.3"/>
    <row r="1667" ht="79.8" customHeight="1" x14ac:dyDescent="0.3"/>
    <row r="1668" ht="45.6" customHeight="1" x14ac:dyDescent="0.3"/>
    <row r="1669" ht="68.400000000000006" customHeight="1" x14ac:dyDescent="0.3"/>
    <row r="1670" ht="22.8" customHeight="1" x14ac:dyDescent="0.3"/>
    <row r="1671" ht="22.8" customHeight="1" x14ac:dyDescent="0.3"/>
    <row r="1672" ht="34.200000000000003" customHeight="1" x14ac:dyDescent="0.3"/>
    <row r="1673" ht="22.8" customHeight="1" x14ac:dyDescent="0.3"/>
    <row r="1674" ht="34.200000000000003" customHeight="1" x14ac:dyDescent="0.3"/>
    <row r="1675" ht="22.8" customHeight="1" x14ac:dyDescent="0.3"/>
    <row r="1676" ht="22.8" customHeight="1" x14ac:dyDescent="0.3"/>
    <row r="1677" ht="22.8" customHeight="1" x14ac:dyDescent="0.3"/>
    <row r="1678" ht="34.200000000000003" customHeight="1" x14ac:dyDescent="0.3"/>
    <row r="1679" ht="34.200000000000003" customHeight="1" x14ac:dyDescent="0.3"/>
    <row r="1680" ht="45.6" customHeight="1" x14ac:dyDescent="0.3"/>
    <row r="1681" ht="68.400000000000006" customHeight="1" x14ac:dyDescent="0.3"/>
    <row r="1682" ht="22.8" customHeight="1" x14ac:dyDescent="0.3"/>
    <row r="1683" ht="22.8" customHeight="1" x14ac:dyDescent="0.3"/>
    <row r="1684" ht="68.400000000000006" customHeight="1" x14ac:dyDescent="0.3"/>
    <row r="1685" ht="57" customHeight="1" x14ac:dyDescent="0.3"/>
    <row r="1686" ht="68.400000000000006" customHeight="1" x14ac:dyDescent="0.3"/>
    <row r="1687" ht="68.400000000000006" customHeight="1" x14ac:dyDescent="0.3"/>
    <row r="1688" ht="91.2" customHeight="1" x14ac:dyDescent="0.3"/>
    <row r="1689" ht="68.400000000000006" customHeight="1" x14ac:dyDescent="0.3"/>
    <row r="1690" ht="45.6" customHeight="1" x14ac:dyDescent="0.3"/>
    <row r="1691" ht="57" customHeight="1" x14ac:dyDescent="0.3"/>
    <row r="1692" ht="45.6" customHeight="1" x14ac:dyDescent="0.3"/>
    <row r="1693" ht="22.8" customHeight="1" x14ac:dyDescent="0.3"/>
    <row r="1694" ht="34.200000000000003" customHeight="1" x14ac:dyDescent="0.3"/>
    <row r="1695" ht="57" customHeight="1" x14ac:dyDescent="0.3"/>
    <row r="1696" ht="45.6" customHeight="1" x14ac:dyDescent="0.3"/>
    <row r="1697" ht="34.200000000000003" customHeight="1" x14ac:dyDescent="0.3"/>
    <row r="1698" ht="45.6" customHeight="1" x14ac:dyDescent="0.3"/>
    <row r="1699" ht="34.200000000000003" customHeight="1" x14ac:dyDescent="0.3"/>
    <row r="1700" ht="34.200000000000003" customHeight="1" x14ac:dyDescent="0.3"/>
    <row r="1701" ht="34.200000000000003" customHeight="1" x14ac:dyDescent="0.3"/>
    <row r="1702" ht="57" customHeight="1" x14ac:dyDescent="0.3"/>
    <row r="1703" ht="57" customHeight="1" x14ac:dyDescent="0.3"/>
    <row r="1704" ht="45.6" customHeight="1" x14ac:dyDescent="0.3"/>
    <row r="1705" ht="22.8" customHeight="1" x14ac:dyDescent="0.3"/>
    <row r="1706" ht="34.200000000000003" customHeight="1" x14ac:dyDescent="0.3"/>
    <row r="1707" ht="57" customHeight="1" x14ac:dyDescent="0.3"/>
    <row r="1708" ht="45.6" customHeight="1" x14ac:dyDescent="0.3"/>
    <row r="1709" ht="34.200000000000003" customHeight="1" x14ac:dyDescent="0.3"/>
    <row r="1710" ht="22.8" customHeight="1" x14ac:dyDescent="0.3"/>
    <row r="1711" ht="34.200000000000003" customHeight="1" x14ac:dyDescent="0.3"/>
    <row r="1712" ht="34.200000000000003" customHeight="1" x14ac:dyDescent="0.3"/>
    <row r="1713" ht="22.8" customHeight="1" x14ac:dyDescent="0.3"/>
    <row r="1714" ht="22.8" customHeight="1" x14ac:dyDescent="0.3"/>
    <row r="1715" ht="45.6" customHeight="1" x14ac:dyDescent="0.3"/>
    <row r="1716" ht="34.200000000000003" customHeight="1" x14ac:dyDescent="0.3"/>
    <row r="1717" ht="34.200000000000003" customHeight="1" x14ac:dyDescent="0.3"/>
    <row r="1718" ht="45.6" customHeight="1" x14ac:dyDescent="0.3"/>
    <row r="1719" ht="45.6" customHeight="1" x14ac:dyDescent="0.3"/>
    <row r="1720" ht="34.200000000000003" customHeight="1" x14ac:dyDescent="0.3"/>
    <row r="1721" ht="34.200000000000003" customHeight="1" x14ac:dyDescent="0.3"/>
    <row r="1722" ht="22.8" customHeight="1" x14ac:dyDescent="0.3"/>
    <row r="1723" ht="34.200000000000003" customHeight="1" x14ac:dyDescent="0.3"/>
    <row r="1724" ht="34.200000000000003" customHeight="1" x14ac:dyDescent="0.3"/>
    <row r="1725" ht="34.200000000000003" customHeight="1" x14ac:dyDescent="0.3"/>
    <row r="1726" ht="34.200000000000003" customHeight="1" x14ac:dyDescent="0.3"/>
    <row r="1727" ht="57" customHeight="1" x14ac:dyDescent="0.3"/>
    <row r="1728" ht="34.200000000000003" customHeight="1" x14ac:dyDescent="0.3"/>
    <row r="1729" ht="34.200000000000003" customHeight="1" x14ac:dyDescent="0.3"/>
    <row r="1730" ht="57" customHeight="1" x14ac:dyDescent="0.3"/>
    <row r="1731" ht="45.6" customHeight="1" x14ac:dyDescent="0.3"/>
    <row r="1732" ht="57" customHeight="1" x14ac:dyDescent="0.3"/>
    <row r="1733" ht="45.6" customHeight="1" x14ac:dyDescent="0.3"/>
    <row r="1734" ht="45.6" customHeight="1" x14ac:dyDescent="0.3"/>
    <row r="1735" ht="68.400000000000006" customHeight="1" x14ac:dyDescent="0.3"/>
    <row r="1736" ht="45.6" customHeight="1" x14ac:dyDescent="0.3"/>
    <row r="1737" ht="57" customHeight="1" x14ac:dyDescent="0.3"/>
    <row r="1738" ht="45.6" customHeight="1" x14ac:dyDescent="0.3"/>
    <row r="1739" ht="57" customHeight="1" x14ac:dyDescent="0.3"/>
    <row r="1740" ht="57" customHeight="1" x14ac:dyDescent="0.3"/>
    <row r="1741" ht="45.6" customHeight="1" x14ac:dyDescent="0.3"/>
    <row r="1742" ht="22.8" customHeight="1" x14ac:dyDescent="0.3"/>
    <row r="1743" ht="45.6" customHeight="1" x14ac:dyDescent="0.3"/>
    <row r="1744" ht="34.200000000000003" customHeight="1" x14ac:dyDescent="0.3"/>
    <row r="1745" ht="57" customHeight="1" x14ac:dyDescent="0.3"/>
    <row r="1746" ht="68.400000000000006" customHeight="1" x14ac:dyDescent="0.3"/>
    <row r="1747" ht="34.200000000000003" customHeight="1" x14ac:dyDescent="0.3"/>
    <row r="1748" ht="34.200000000000003" customHeight="1" x14ac:dyDescent="0.3"/>
    <row r="1749" ht="22.8" customHeight="1" x14ac:dyDescent="0.3"/>
    <row r="1750" ht="45.6" customHeight="1" x14ac:dyDescent="0.3"/>
    <row r="1751" ht="68.400000000000006" customHeight="1" x14ac:dyDescent="0.3"/>
    <row r="1752" ht="68.400000000000006" customHeight="1" x14ac:dyDescent="0.3"/>
    <row r="1753" ht="68.400000000000006" customHeight="1" x14ac:dyDescent="0.3"/>
    <row r="1754" ht="57" customHeight="1" x14ac:dyDescent="0.3"/>
    <row r="1755" ht="57" customHeight="1" x14ac:dyDescent="0.3"/>
    <row r="1756" ht="34.200000000000003" customHeight="1" x14ac:dyDescent="0.3"/>
    <row r="1757" ht="34.200000000000003" customHeight="1" x14ac:dyDescent="0.3"/>
    <row r="1758" ht="34.200000000000003" customHeight="1" x14ac:dyDescent="0.3"/>
    <row r="1759" ht="34.200000000000003" customHeight="1" x14ac:dyDescent="0.3"/>
    <row r="1760" ht="34.200000000000003" customHeight="1" x14ac:dyDescent="0.3"/>
    <row r="1761" ht="45.6" customHeight="1" x14ac:dyDescent="0.3"/>
    <row r="1762" ht="45.6" customHeight="1" x14ac:dyDescent="0.3"/>
    <row r="1763" ht="22.8" customHeight="1" x14ac:dyDescent="0.3"/>
    <row r="1764" ht="45.6" customHeight="1" x14ac:dyDescent="0.3"/>
    <row r="1765" ht="22.8" customHeight="1" x14ac:dyDescent="0.3"/>
    <row r="1766" ht="91.2" customHeight="1" x14ac:dyDescent="0.3"/>
    <row r="1767" ht="34.200000000000003" customHeight="1" x14ac:dyDescent="0.3"/>
    <row r="1768" ht="34.200000000000003" customHeight="1" x14ac:dyDescent="0.3"/>
    <row r="1769" ht="34.200000000000003" customHeight="1" x14ac:dyDescent="0.3"/>
    <row r="1770" ht="34.200000000000003" customHeight="1" x14ac:dyDescent="0.3"/>
    <row r="1771" ht="22.8" customHeight="1" x14ac:dyDescent="0.3"/>
    <row r="1772" ht="22.8" customHeight="1" x14ac:dyDescent="0.3"/>
    <row r="1773" ht="22.8" customHeight="1" x14ac:dyDescent="0.3"/>
    <row r="1774" ht="34.200000000000003" customHeight="1" x14ac:dyDescent="0.3"/>
    <row r="1775" ht="57" customHeight="1" x14ac:dyDescent="0.3"/>
    <row r="1776" ht="45.6" customHeight="1" x14ac:dyDescent="0.3"/>
    <row r="1777" ht="34.200000000000003" customHeight="1" x14ac:dyDescent="0.3"/>
    <row r="1778" ht="22.8" customHeight="1" x14ac:dyDescent="0.3"/>
    <row r="1779" ht="45.6" customHeight="1" x14ac:dyDescent="0.3"/>
    <row r="1780" ht="45.6" customHeight="1" x14ac:dyDescent="0.3"/>
    <row r="1781" ht="57" customHeight="1" x14ac:dyDescent="0.3"/>
    <row r="1782" ht="22.8" customHeight="1" x14ac:dyDescent="0.3"/>
    <row r="1783" ht="45.6" customHeight="1" x14ac:dyDescent="0.3"/>
    <row r="1784" ht="34.200000000000003" customHeight="1" x14ac:dyDescent="0.3"/>
    <row r="1785" ht="68.400000000000006" customHeight="1" x14ac:dyDescent="0.3"/>
    <row r="1786" ht="34.200000000000003" customHeight="1" x14ac:dyDescent="0.3"/>
    <row r="1787" ht="34.200000000000003" customHeight="1" x14ac:dyDescent="0.3"/>
    <row r="1788" ht="45.6" customHeight="1" x14ac:dyDescent="0.3"/>
    <row r="1789" ht="34.200000000000003" customHeight="1" x14ac:dyDescent="0.3"/>
    <row r="1790" ht="57" customHeight="1" x14ac:dyDescent="0.3"/>
    <row r="1791" ht="22.8" customHeight="1" x14ac:dyDescent="0.3"/>
    <row r="1792" ht="22.8" customHeight="1" x14ac:dyDescent="0.3"/>
    <row r="1793" ht="34.200000000000003" customHeight="1" x14ac:dyDescent="0.3"/>
    <row r="1794" ht="34.200000000000003" customHeight="1" x14ac:dyDescent="0.3"/>
    <row r="1795" ht="34.200000000000003" customHeight="1" x14ac:dyDescent="0.3"/>
    <row r="1796" ht="22.8" customHeight="1" x14ac:dyDescent="0.3"/>
    <row r="1797" ht="22.8" customHeight="1" x14ac:dyDescent="0.3"/>
    <row r="1798" ht="22.8" customHeight="1" x14ac:dyDescent="0.3"/>
    <row r="1799" ht="45.6" customHeight="1" x14ac:dyDescent="0.3"/>
    <row r="1800" ht="57" customHeight="1" x14ac:dyDescent="0.3"/>
    <row r="1801" ht="45.6" customHeight="1" x14ac:dyDescent="0.3"/>
    <row r="1802" ht="34.200000000000003" customHeight="1" x14ac:dyDescent="0.3"/>
    <row r="1803" ht="45.6" customHeight="1" x14ac:dyDescent="0.3"/>
    <row r="1804" ht="34.200000000000003" customHeight="1" x14ac:dyDescent="0.3"/>
    <row r="1805" ht="22.8" customHeight="1" x14ac:dyDescent="0.3"/>
    <row r="1806" ht="91.2" customHeight="1" x14ac:dyDescent="0.3"/>
    <row r="1807" ht="57" customHeight="1" x14ac:dyDescent="0.3"/>
    <row r="1808" ht="22.8" customHeight="1" x14ac:dyDescent="0.3"/>
    <row r="1809" ht="34.200000000000003" customHeight="1" x14ac:dyDescent="0.3"/>
    <row r="1810" ht="79.8" customHeight="1" x14ac:dyDescent="0.3"/>
    <row r="1811" ht="34.200000000000003" customHeight="1" x14ac:dyDescent="0.3"/>
    <row r="1812" ht="57" customHeight="1" x14ac:dyDescent="0.3"/>
    <row r="1813" ht="22.8" customHeight="1" x14ac:dyDescent="0.3"/>
    <row r="1814" ht="22.8" customHeight="1" x14ac:dyDescent="0.3"/>
    <row r="1815" ht="34.200000000000003" customHeight="1" x14ac:dyDescent="0.3"/>
    <row r="1816" ht="34.200000000000003" customHeight="1" x14ac:dyDescent="0.3"/>
    <row r="1817" ht="34.200000000000003" customHeight="1" x14ac:dyDescent="0.3"/>
    <row r="1818" ht="34.200000000000003" customHeight="1" x14ac:dyDescent="0.3"/>
    <row r="1819" ht="34.200000000000003" customHeight="1" x14ac:dyDescent="0.3"/>
    <row r="1820" ht="45.6" customHeight="1" x14ac:dyDescent="0.3"/>
    <row r="1821" ht="34.200000000000003" customHeight="1" x14ac:dyDescent="0.3"/>
    <row r="1822" ht="34.200000000000003" customHeight="1" x14ac:dyDescent="0.3"/>
    <row r="1823" ht="34.200000000000003" customHeight="1" x14ac:dyDescent="0.3"/>
    <row r="1824" ht="45.6" customHeight="1" x14ac:dyDescent="0.3"/>
    <row r="1825" ht="34.200000000000003" customHeight="1" x14ac:dyDescent="0.3"/>
    <row r="1826" ht="34.200000000000003" customHeight="1" x14ac:dyDescent="0.3"/>
    <row r="1827" ht="22.8" customHeight="1" x14ac:dyDescent="0.3"/>
    <row r="1828" ht="34.200000000000003" customHeight="1" x14ac:dyDescent="0.3"/>
    <row r="1829" ht="45.6" customHeight="1" x14ac:dyDescent="0.3"/>
    <row r="1830" ht="57" customHeight="1" x14ac:dyDescent="0.3"/>
    <row r="1831" ht="45.6" customHeight="1" x14ac:dyDescent="0.3"/>
    <row r="1832" ht="57" customHeight="1" x14ac:dyDescent="0.3"/>
    <row r="1833" ht="34.200000000000003" customHeight="1" x14ac:dyDescent="0.3"/>
    <row r="1834" ht="34.200000000000003" customHeight="1" x14ac:dyDescent="0.3"/>
    <row r="1835" ht="34.200000000000003" customHeight="1" x14ac:dyDescent="0.3"/>
    <row r="1836" ht="34.200000000000003" customHeight="1" x14ac:dyDescent="0.3"/>
    <row r="1837" ht="34.200000000000003" customHeight="1" x14ac:dyDescent="0.3"/>
    <row r="1838" ht="34.200000000000003" customHeight="1" x14ac:dyDescent="0.3"/>
    <row r="1839" ht="22.8" customHeight="1" x14ac:dyDescent="0.3"/>
    <row r="1840" ht="34.200000000000003" customHeight="1" x14ac:dyDescent="0.3"/>
    <row r="1841" ht="45.6" customHeight="1" x14ac:dyDescent="0.3"/>
    <row r="1842" ht="57" customHeight="1" x14ac:dyDescent="0.3"/>
    <row r="1843" ht="57" customHeight="1" x14ac:dyDescent="0.3"/>
    <row r="1844" ht="68.400000000000006" customHeight="1" x14ac:dyDescent="0.3"/>
    <row r="1845" ht="68.400000000000006" customHeight="1" x14ac:dyDescent="0.3"/>
    <row r="1846" ht="34.200000000000003" customHeight="1" x14ac:dyDescent="0.3"/>
    <row r="1847" ht="22.8" customHeight="1" x14ac:dyDescent="0.3"/>
    <row r="1848" ht="34.200000000000003" customHeight="1" x14ac:dyDescent="0.3"/>
    <row r="1849" ht="34.200000000000003" customHeight="1" x14ac:dyDescent="0.3"/>
    <row r="1850" ht="34.200000000000003" customHeight="1" x14ac:dyDescent="0.3"/>
    <row r="1851" ht="45.6" customHeight="1" x14ac:dyDescent="0.3"/>
    <row r="1852" ht="22.8" customHeight="1" x14ac:dyDescent="0.3"/>
    <row r="1853" ht="34.200000000000003" customHeight="1" x14ac:dyDescent="0.3"/>
    <row r="1854" ht="34.200000000000003" customHeight="1" x14ac:dyDescent="0.3"/>
    <row r="1855" ht="34.200000000000003" customHeight="1" x14ac:dyDescent="0.3"/>
    <row r="1856" ht="34.200000000000003" customHeight="1" x14ac:dyDescent="0.3"/>
    <row r="1857" ht="34.200000000000003" customHeight="1" x14ac:dyDescent="0.3"/>
    <row r="1858" ht="34.200000000000003" customHeight="1" x14ac:dyDescent="0.3"/>
    <row r="1859" ht="45.6" customHeight="1" x14ac:dyDescent="0.3"/>
    <row r="1860" ht="45.6" customHeight="1" x14ac:dyDescent="0.3"/>
    <row r="1861" ht="57" customHeight="1" x14ac:dyDescent="0.3"/>
    <row r="1862" ht="34.200000000000003" customHeight="1" x14ac:dyDescent="0.3"/>
    <row r="1864" ht="22.8" customHeight="1" x14ac:dyDescent="0.3"/>
    <row r="1865" ht="22.8" customHeight="1" x14ac:dyDescent="0.3"/>
    <row r="1866" ht="22.8" customHeight="1" x14ac:dyDescent="0.3"/>
    <row r="1867" ht="22.8" customHeight="1" x14ac:dyDescent="0.3"/>
    <row r="1868" ht="22.8" customHeight="1" x14ac:dyDescent="0.3"/>
    <row r="1869" ht="22.8" customHeight="1" x14ac:dyDescent="0.3"/>
    <row r="1871" ht="22.8" customHeight="1" x14ac:dyDescent="0.3"/>
    <row r="1872" ht="22.8" customHeight="1" x14ac:dyDescent="0.3"/>
    <row r="1874" ht="22.8" customHeight="1" x14ac:dyDescent="0.3"/>
    <row r="1875" ht="22.8" customHeight="1" x14ac:dyDescent="0.3"/>
    <row r="1876" ht="22.8" customHeight="1" x14ac:dyDescent="0.3"/>
    <row r="1878" ht="22.8" customHeight="1" x14ac:dyDescent="0.3"/>
    <row r="1880" ht="34.200000000000003" customHeight="1" x14ac:dyDescent="0.3"/>
    <row r="1881" ht="22.8" customHeight="1" x14ac:dyDescent="0.3"/>
    <row r="1884" ht="22.8" customHeight="1" x14ac:dyDescent="0.3"/>
    <row r="1885" ht="22.8" customHeight="1" x14ac:dyDescent="0.3"/>
    <row r="1887" ht="22.8" customHeight="1" x14ac:dyDescent="0.3"/>
    <row r="1888" ht="22.8" customHeight="1" x14ac:dyDescent="0.3"/>
    <row r="1892" ht="22.8" customHeight="1" x14ac:dyDescent="0.3"/>
    <row r="1893" ht="22.8" customHeight="1" x14ac:dyDescent="0.3"/>
    <row r="1895" ht="34.200000000000003" customHeight="1" x14ac:dyDescent="0.3"/>
    <row r="1896" ht="34.200000000000003" customHeight="1" x14ac:dyDescent="0.3"/>
    <row r="1897" ht="34.200000000000003" customHeight="1" x14ac:dyDescent="0.3"/>
    <row r="1898" ht="45.6" customHeight="1" x14ac:dyDescent="0.3"/>
    <row r="1899" ht="22.8" customHeight="1" x14ac:dyDescent="0.3"/>
    <row r="1900" ht="34.200000000000003" customHeight="1" x14ac:dyDescent="0.3"/>
    <row r="1901" ht="22.8" customHeight="1" x14ac:dyDescent="0.3"/>
    <row r="1902" ht="34.200000000000003" customHeight="1" x14ac:dyDescent="0.3"/>
    <row r="1903" ht="57" customHeight="1" x14ac:dyDescent="0.3"/>
    <row r="1904" ht="22.8" customHeight="1" x14ac:dyDescent="0.3"/>
    <row r="1905" ht="22.8" customHeight="1" x14ac:dyDescent="0.3"/>
    <row r="1906" ht="34.200000000000003" customHeight="1" x14ac:dyDescent="0.3"/>
    <row r="1907" ht="22.8" customHeight="1" x14ac:dyDescent="0.3"/>
    <row r="1908" ht="34.200000000000003" customHeight="1" x14ac:dyDescent="0.3"/>
    <row r="1909" ht="22.8" customHeight="1" x14ac:dyDescent="0.3"/>
    <row r="1910" ht="57" customHeight="1" x14ac:dyDescent="0.3"/>
    <row r="1911" ht="22.8" customHeight="1" x14ac:dyDescent="0.3"/>
    <row r="1912" ht="57" customHeight="1" x14ac:dyDescent="0.3"/>
    <row r="1913" ht="34.200000000000003" customHeight="1" x14ac:dyDescent="0.3"/>
    <row r="1914" ht="22.8" customHeight="1" x14ac:dyDescent="0.3"/>
    <row r="1915" ht="22.8" customHeight="1" x14ac:dyDescent="0.3"/>
    <row r="1916" ht="22.8" customHeight="1" x14ac:dyDescent="0.3"/>
    <row r="1917" ht="45.6" customHeight="1" x14ac:dyDescent="0.3"/>
    <row r="1919" ht="57" customHeight="1" x14ac:dyDescent="0.3"/>
    <row r="1920" ht="22.8" customHeight="1" x14ac:dyDescent="0.3"/>
    <row r="1921" ht="22.8" customHeight="1" x14ac:dyDescent="0.3"/>
    <row r="1922" ht="22.8" customHeight="1" x14ac:dyDescent="0.3"/>
    <row r="1923" ht="34.200000000000003" customHeight="1" x14ac:dyDescent="0.3"/>
    <row r="1924" ht="22.8" customHeight="1" x14ac:dyDescent="0.3"/>
    <row r="1925" ht="34.200000000000003" customHeight="1" x14ac:dyDescent="0.3"/>
    <row r="1926" ht="34.200000000000003" customHeight="1" x14ac:dyDescent="0.3"/>
    <row r="1927" ht="45.6" customHeight="1" x14ac:dyDescent="0.3"/>
    <row r="1928" ht="57" customHeight="1" x14ac:dyDescent="0.3"/>
    <row r="1929" ht="57" customHeight="1" x14ac:dyDescent="0.3"/>
    <row r="1930" ht="45.6" customHeight="1" x14ac:dyDescent="0.3"/>
    <row r="1931" ht="45.6" customHeight="1" x14ac:dyDescent="0.3"/>
    <row r="1932" ht="57" customHeight="1" x14ac:dyDescent="0.3"/>
    <row r="1933" ht="68.400000000000006" customHeight="1" x14ac:dyDescent="0.3"/>
    <row r="1934" ht="22.8" customHeight="1" x14ac:dyDescent="0.3"/>
    <row r="1935" ht="34.200000000000003" customHeight="1" x14ac:dyDescent="0.3"/>
    <row r="1936" ht="34.200000000000003" customHeight="1" x14ac:dyDescent="0.3"/>
    <row r="1937" ht="34.200000000000003" customHeight="1" x14ac:dyDescent="0.3"/>
    <row r="1938" ht="34.200000000000003" customHeight="1" x14ac:dyDescent="0.3"/>
    <row r="1939" ht="45.6" customHeight="1" x14ac:dyDescent="0.3"/>
    <row r="1940" ht="45.6" customHeight="1" x14ac:dyDescent="0.3"/>
    <row r="1941" ht="22.8" customHeight="1" x14ac:dyDescent="0.3"/>
    <row r="1942" ht="57" customHeight="1" x14ac:dyDescent="0.3"/>
    <row r="1943" ht="22.8" customHeight="1" x14ac:dyDescent="0.3"/>
    <row r="1944" ht="22.8" customHeight="1" x14ac:dyDescent="0.3"/>
    <row r="1945" ht="45.6" customHeight="1" x14ac:dyDescent="0.3"/>
    <row r="1946" ht="34.200000000000003" customHeight="1" x14ac:dyDescent="0.3"/>
    <row r="1947" ht="22.8" customHeight="1" x14ac:dyDescent="0.3"/>
    <row r="1948" ht="22.8" customHeight="1" x14ac:dyDescent="0.3"/>
    <row r="1949" ht="22.8" customHeight="1" x14ac:dyDescent="0.3"/>
    <row r="1950" ht="22.8" customHeight="1" x14ac:dyDescent="0.3"/>
    <row r="1951" ht="34.200000000000003" customHeight="1" x14ac:dyDescent="0.3"/>
    <row r="1952" ht="45.6" customHeight="1" x14ac:dyDescent="0.3"/>
    <row r="1953" ht="22.8" customHeight="1" x14ac:dyDescent="0.3"/>
    <row r="1954" ht="34.200000000000003" customHeight="1" x14ac:dyDescent="0.3"/>
    <row r="1955" ht="45.6" customHeight="1" x14ac:dyDescent="0.3"/>
    <row r="1956" ht="34.200000000000003" customHeight="1" x14ac:dyDescent="0.3"/>
    <row r="1957" ht="34.200000000000003" customHeight="1" x14ac:dyDescent="0.3"/>
    <row r="1958" ht="34.200000000000003" customHeight="1" x14ac:dyDescent="0.3"/>
    <row r="1959" ht="22.8" customHeight="1" x14ac:dyDescent="0.3"/>
    <row r="1960" ht="68.400000000000006" customHeight="1" x14ac:dyDescent="0.3"/>
    <row r="1961" ht="45.6" customHeight="1" x14ac:dyDescent="0.3"/>
    <row r="1962" ht="45.6" customHeight="1" x14ac:dyDescent="0.3"/>
    <row r="1963" ht="45.6" customHeight="1" x14ac:dyDescent="0.3"/>
    <row r="1964" ht="22.8" customHeight="1" x14ac:dyDescent="0.3"/>
    <row r="1965" ht="22.8" customHeight="1" x14ac:dyDescent="0.3"/>
    <row r="1966" ht="22.8" customHeight="1" x14ac:dyDescent="0.3"/>
    <row r="1967" ht="22.8" customHeight="1" x14ac:dyDescent="0.3"/>
    <row r="1968" ht="34.200000000000003" customHeight="1" x14ac:dyDescent="0.3"/>
    <row r="1969" ht="22.8" customHeight="1" x14ac:dyDescent="0.3"/>
    <row r="1970" ht="34.200000000000003" customHeight="1" x14ac:dyDescent="0.3"/>
    <row r="1971" ht="34.200000000000003" customHeight="1" x14ac:dyDescent="0.3"/>
    <row r="1972" ht="22.8" customHeight="1" x14ac:dyDescent="0.3"/>
    <row r="1974" ht="22.8" customHeight="1" x14ac:dyDescent="0.3"/>
    <row r="1975" ht="22.8" customHeight="1" x14ac:dyDescent="0.3"/>
    <row r="1976" ht="34.200000000000003" customHeight="1" x14ac:dyDescent="0.3"/>
    <row r="1977" ht="45.6" customHeight="1" x14ac:dyDescent="0.3"/>
    <row r="1978" ht="45.6" customHeight="1" x14ac:dyDescent="0.3"/>
    <row r="1979" ht="68.400000000000006" customHeight="1" x14ac:dyDescent="0.3"/>
    <row r="1980" ht="34.200000000000003" customHeight="1" x14ac:dyDescent="0.3"/>
    <row r="1981" ht="22.8" customHeight="1" x14ac:dyDescent="0.3"/>
    <row r="1982" ht="34.200000000000003" customHeight="1" x14ac:dyDescent="0.3"/>
    <row r="1983" ht="34.200000000000003" customHeight="1" x14ac:dyDescent="0.3"/>
    <row r="1984" ht="34.200000000000003" customHeight="1" x14ac:dyDescent="0.3"/>
    <row r="1985" ht="22.8" customHeight="1" x14ac:dyDescent="0.3"/>
    <row r="1986" ht="34.200000000000003" customHeight="1" x14ac:dyDescent="0.3"/>
    <row r="1987" ht="45.6" customHeight="1" x14ac:dyDescent="0.3"/>
    <row r="1988" ht="34.200000000000003" customHeight="1" x14ac:dyDescent="0.3"/>
    <row r="1989" ht="45.6" customHeight="1" x14ac:dyDescent="0.3"/>
    <row r="1990" ht="34.200000000000003" customHeight="1" x14ac:dyDescent="0.3"/>
    <row r="1991" ht="34.200000000000003" customHeight="1" x14ac:dyDescent="0.3"/>
    <row r="1992" ht="22.8" customHeight="1" x14ac:dyDescent="0.3"/>
    <row r="1993" ht="34.200000000000003" customHeight="1" x14ac:dyDescent="0.3"/>
    <row r="1994" ht="34.200000000000003" customHeight="1" x14ac:dyDescent="0.3"/>
    <row r="1995" ht="79.8" customHeight="1" x14ac:dyDescent="0.3"/>
    <row r="1996" ht="45.6" customHeight="1" x14ac:dyDescent="0.3"/>
    <row r="1997" ht="34.200000000000003" customHeight="1" x14ac:dyDescent="0.3"/>
    <row r="1998" ht="57" customHeight="1" x14ac:dyDescent="0.3"/>
    <row r="1999" ht="34.200000000000003" customHeight="1" x14ac:dyDescent="0.3"/>
    <row r="2000" ht="45.6" customHeight="1" x14ac:dyDescent="0.3"/>
    <row r="2001" ht="45.6" customHeight="1" x14ac:dyDescent="0.3"/>
    <row r="2002" ht="34.200000000000003" customHeight="1" x14ac:dyDescent="0.3"/>
    <row r="2003" ht="45.6" customHeight="1" x14ac:dyDescent="0.3"/>
    <row r="2004" ht="34.200000000000003" customHeight="1" x14ac:dyDescent="0.3"/>
    <row r="2005" ht="45.6" customHeight="1" x14ac:dyDescent="0.3"/>
    <row r="2006" ht="57" customHeight="1" x14ac:dyDescent="0.3"/>
    <row r="2007" ht="22.8" customHeight="1" x14ac:dyDescent="0.3"/>
    <row r="2008" ht="22.8" customHeight="1" x14ac:dyDescent="0.3"/>
    <row r="2009" ht="22.8" customHeight="1" x14ac:dyDescent="0.3"/>
    <row r="2010" ht="34.200000000000003" customHeight="1" x14ac:dyDescent="0.3"/>
    <row r="2011" ht="22.8" customHeight="1" x14ac:dyDescent="0.3"/>
    <row r="2012" ht="22.8" customHeight="1" x14ac:dyDescent="0.3"/>
    <row r="2013" ht="34.200000000000003" customHeight="1" x14ac:dyDescent="0.3"/>
    <row r="2014" ht="34.200000000000003" customHeight="1" x14ac:dyDescent="0.3"/>
    <row r="2015" ht="22.8" customHeight="1" x14ac:dyDescent="0.3"/>
    <row r="2016" ht="22.8" customHeight="1" x14ac:dyDescent="0.3"/>
    <row r="2017" ht="22.8" customHeight="1" x14ac:dyDescent="0.3"/>
    <row r="2018" ht="22.8" customHeight="1" x14ac:dyDescent="0.3"/>
    <row r="2019" ht="22.8" customHeight="1" x14ac:dyDescent="0.3"/>
    <row r="2020" ht="34.200000000000003" customHeight="1" x14ac:dyDescent="0.3"/>
    <row r="2021" ht="45.6" customHeight="1" x14ac:dyDescent="0.3"/>
    <row r="2022" ht="45.6" customHeight="1" x14ac:dyDescent="0.3"/>
    <row r="2023" ht="45.6" customHeight="1" x14ac:dyDescent="0.3"/>
    <row r="2024" ht="34.200000000000003" customHeight="1" x14ac:dyDescent="0.3"/>
    <row r="2025" ht="34.200000000000003" customHeight="1" x14ac:dyDescent="0.3"/>
    <row r="2026" ht="22.8" customHeight="1" x14ac:dyDescent="0.3"/>
    <row r="2028" ht="45.6" customHeight="1" x14ac:dyDescent="0.3"/>
    <row r="2029" ht="22.8" customHeight="1" x14ac:dyDescent="0.3"/>
    <row r="2030" ht="22.8" customHeight="1" x14ac:dyDescent="0.3"/>
    <row r="2031" ht="45.6" customHeight="1" x14ac:dyDescent="0.3"/>
    <row r="2033" ht="22.8" customHeight="1" x14ac:dyDescent="0.3"/>
    <row r="2034" ht="22.8" customHeight="1" x14ac:dyDescent="0.3"/>
    <row r="2035" ht="34.200000000000003" customHeight="1" x14ac:dyDescent="0.3"/>
    <row r="2036" ht="22.8" customHeight="1" x14ac:dyDescent="0.3"/>
    <row r="2037" ht="22.8" customHeight="1" x14ac:dyDescent="0.3"/>
    <row r="2038" ht="34.200000000000003" customHeight="1" x14ac:dyDescent="0.3"/>
    <row r="2039" ht="34.200000000000003" customHeight="1" x14ac:dyDescent="0.3"/>
    <row r="2040" ht="22.8" customHeight="1" x14ac:dyDescent="0.3"/>
    <row r="2041" ht="34.200000000000003" customHeight="1" x14ac:dyDescent="0.3"/>
    <row r="2042" ht="34.200000000000003" customHeight="1" x14ac:dyDescent="0.3"/>
    <row r="2043" ht="22.8" customHeight="1" x14ac:dyDescent="0.3"/>
    <row r="2044" ht="45.6" customHeight="1" x14ac:dyDescent="0.3"/>
    <row r="2045" ht="34.200000000000003" customHeight="1" x14ac:dyDescent="0.3"/>
    <row r="2046" ht="68.400000000000006" customHeight="1" x14ac:dyDescent="0.3"/>
    <row r="2047" ht="68.400000000000006" customHeight="1" x14ac:dyDescent="0.3"/>
    <row r="2048" ht="22.8" customHeight="1" x14ac:dyDescent="0.3"/>
    <row r="2049" ht="22.8" customHeight="1" x14ac:dyDescent="0.3"/>
    <row r="2050" ht="34.200000000000003" customHeight="1" x14ac:dyDescent="0.3"/>
    <row r="2051" ht="45.6" customHeight="1" x14ac:dyDescent="0.3"/>
    <row r="2052" ht="34.200000000000003" customHeight="1" x14ac:dyDescent="0.3"/>
    <row r="2054" ht="22.8" customHeight="1" x14ac:dyDescent="0.3"/>
    <row r="2055" ht="34.200000000000003" customHeight="1" x14ac:dyDescent="0.3"/>
    <row r="2056" ht="34.200000000000003" customHeight="1" x14ac:dyDescent="0.3"/>
    <row r="2057" ht="34.200000000000003" customHeight="1" x14ac:dyDescent="0.3"/>
    <row r="2058" ht="22.8" customHeight="1" x14ac:dyDescent="0.3"/>
    <row r="2059" ht="34.200000000000003" customHeight="1" x14ac:dyDescent="0.3"/>
    <row r="2060" ht="34.200000000000003" customHeight="1" x14ac:dyDescent="0.3"/>
    <row r="2061" ht="34.200000000000003" customHeight="1" x14ac:dyDescent="0.3"/>
    <row r="2062" ht="45.6" customHeight="1" x14ac:dyDescent="0.3"/>
    <row r="2063" ht="34.200000000000003" customHeight="1" x14ac:dyDescent="0.3"/>
    <row r="2064" ht="22.8" customHeight="1" x14ac:dyDescent="0.3"/>
    <row r="2065" ht="22.8" customHeight="1" x14ac:dyDescent="0.3"/>
    <row r="2066" ht="22.8" customHeight="1" x14ac:dyDescent="0.3"/>
    <row r="2067" ht="34.200000000000003" customHeight="1" x14ac:dyDescent="0.3"/>
    <row r="2068" ht="22.8" customHeight="1" x14ac:dyDescent="0.3"/>
    <row r="2069" ht="34.200000000000003" customHeight="1" x14ac:dyDescent="0.3"/>
    <row r="2070" ht="22.8" customHeight="1" x14ac:dyDescent="0.3"/>
    <row r="2071" ht="45.6" customHeight="1" x14ac:dyDescent="0.3"/>
    <row r="2072" ht="45.6" customHeight="1" x14ac:dyDescent="0.3"/>
    <row r="2073" ht="45.6" customHeight="1" x14ac:dyDescent="0.3"/>
    <row r="2074" ht="22.8" customHeight="1" x14ac:dyDescent="0.3"/>
    <row r="2075" ht="22.8" customHeight="1" x14ac:dyDescent="0.3"/>
    <row r="2076" ht="45.6" customHeight="1" x14ac:dyDescent="0.3"/>
    <row r="2077" ht="68.400000000000006" customHeight="1" x14ac:dyDescent="0.3"/>
    <row r="2078" ht="34.200000000000003" customHeight="1" x14ac:dyDescent="0.3"/>
    <row r="2079" ht="34.200000000000003" customHeight="1" x14ac:dyDescent="0.3"/>
    <row r="2080" ht="57" customHeight="1" x14ac:dyDescent="0.3"/>
    <row r="2081" ht="34.200000000000003" customHeight="1" x14ac:dyDescent="0.3"/>
    <row r="2082" ht="68.400000000000006" customHeight="1" x14ac:dyDescent="0.3"/>
    <row r="2083" ht="45.6" customHeight="1" x14ac:dyDescent="0.3"/>
    <row r="2084" ht="45.6" customHeight="1" x14ac:dyDescent="0.3"/>
    <row r="2085" ht="34.200000000000003" customHeight="1" x14ac:dyDescent="0.3"/>
    <row r="2086" ht="45.6" customHeight="1" x14ac:dyDescent="0.3"/>
    <row r="2087" ht="34.200000000000003" customHeight="1" x14ac:dyDescent="0.3"/>
    <row r="2088" ht="22.8" customHeight="1" x14ac:dyDescent="0.3"/>
    <row r="2089" ht="34.200000000000003" customHeight="1" x14ac:dyDescent="0.3"/>
    <row r="2090" ht="22.8" customHeight="1" x14ac:dyDescent="0.3"/>
    <row r="2091" ht="34.200000000000003" customHeight="1" x14ac:dyDescent="0.3"/>
    <row r="2092" ht="22.8" customHeight="1" x14ac:dyDescent="0.3"/>
    <row r="2093" ht="34.200000000000003" customHeight="1" x14ac:dyDescent="0.3"/>
    <row r="2094" ht="22.8" customHeight="1" x14ac:dyDescent="0.3"/>
    <row r="2095" ht="22.8" customHeight="1" x14ac:dyDescent="0.3"/>
    <row r="2096" ht="34.200000000000003" customHeight="1" x14ac:dyDescent="0.3"/>
    <row r="2097" ht="22.8" customHeight="1" x14ac:dyDescent="0.3"/>
    <row r="2098" ht="34.200000000000003" customHeight="1" x14ac:dyDescent="0.3"/>
    <row r="2099" ht="34.200000000000003" customHeight="1" x14ac:dyDescent="0.3"/>
    <row r="2100" ht="22.8" customHeight="1" x14ac:dyDescent="0.3"/>
    <row r="2101" ht="22.8" customHeight="1" x14ac:dyDescent="0.3"/>
    <row r="2102" ht="91.2" customHeight="1" x14ac:dyDescent="0.3"/>
    <row r="2103" ht="102.6" customHeight="1" x14ac:dyDescent="0.3"/>
    <row r="2104" ht="34.200000000000003" customHeight="1" x14ac:dyDescent="0.3"/>
    <row r="2105" ht="34.200000000000003" customHeight="1" x14ac:dyDescent="0.3"/>
    <row r="2108" ht="22.8" customHeight="1" x14ac:dyDescent="0.3"/>
    <row r="2109" ht="22.8" customHeight="1" x14ac:dyDescent="0.3"/>
    <row r="2110" ht="34.200000000000003" customHeight="1" x14ac:dyDescent="0.3"/>
    <row r="2111" ht="34.200000000000003" customHeight="1" x14ac:dyDescent="0.3"/>
    <row r="2112" ht="57" customHeight="1" x14ac:dyDescent="0.3"/>
    <row r="2114" ht="22.8" customHeight="1" x14ac:dyDescent="0.3"/>
    <row r="2115" ht="22.8" customHeight="1" x14ac:dyDescent="0.3"/>
    <row r="2116" ht="57" customHeight="1" x14ac:dyDescent="0.3"/>
    <row r="2117" ht="22.8" customHeight="1" x14ac:dyDescent="0.3"/>
    <row r="2118" ht="34.200000000000003" customHeight="1" x14ac:dyDescent="0.3"/>
    <row r="2119" ht="22.8" customHeight="1" x14ac:dyDescent="0.3"/>
    <row r="2120" ht="34.200000000000003" customHeight="1" x14ac:dyDescent="0.3"/>
    <row r="2121" ht="45.6" customHeight="1" x14ac:dyDescent="0.3"/>
    <row r="2122" ht="114" customHeight="1" x14ac:dyDescent="0.3"/>
    <row r="2123" ht="68.400000000000006" customHeight="1" x14ac:dyDescent="0.3"/>
    <row r="2124" ht="79.8" customHeight="1" x14ac:dyDescent="0.3"/>
    <row r="2125" ht="79.8" customHeight="1" x14ac:dyDescent="0.3"/>
    <row r="2126" ht="91.2" customHeight="1" x14ac:dyDescent="0.3"/>
    <row r="2127" ht="79.8" customHeight="1" x14ac:dyDescent="0.3"/>
    <row r="2128" ht="22.8" customHeight="1" x14ac:dyDescent="0.3"/>
    <row r="2129" ht="34.200000000000003" customHeight="1" x14ac:dyDescent="0.3"/>
    <row r="2130" ht="34.200000000000003" customHeight="1" x14ac:dyDescent="0.3"/>
    <row r="2131" ht="45.6" customHeight="1" x14ac:dyDescent="0.3"/>
    <row r="2132" ht="45.6" customHeight="1" x14ac:dyDescent="0.3"/>
    <row r="2133" ht="34.200000000000003" customHeight="1" x14ac:dyDescent="0.3"/>
    <row r="2134" ht="22.8" customHeight="1" x14ac:dyDescent="0.3"/>
    <row r="2135" ht="34.200000000000003" customHeight="1" x14ac:dyDescent="0.3"/>
    <row r="2136" ht="45.6" customHeight="1" x14ac:dyDescent="0.3"/>
    <row r="2137" ht="34.200000000000003" customHeight="1" x14ac:dyDescent="0.3"/>
    <row r="2138" ht="22.8" customHeight="1" x14ac:dyDescent="0.3"/>
    <row r="2139" ht="22.8" customHeight="1" x14ac:dyDescent="0.3"/>
    <row r="2140" ht="22.8" customHeight="1" x14ac:dyDescent="0.3"/>
    <row r="2141" ht="22.8" customHeight="1" x14ac:dyDescent="0.3"/>
    <row r="2142" ht="22.8" customHeight="1" x14ac:dyDescent="0.3"/>
    <row r="2143" ht="22.8" customHeight="1" x14ac:dyDescent="0.3"/>
    <row r="2144" ht="22.8" customHeight="1" x14ac:dyDescent="0.3"/>
    <row r="2145" ht="22.8" customHeight="1" x14ac:dyDescent="0.3"/>
    <row r="2146" ht="34.200000000000003" customHeight="1" x14ac:dyDescent="0.3"/>
    <row r="2147" ht="34.200000000000003" customHeight="1" x14ac:dyDescent="0.3"/>
    <row r="2148" ht="34.200000000000003" customHeight="1" x14ac:dyDescent="0.3"/>
    <row r="2149" ht="22.8" customHeight="1" x14ac:dyDescent="0.3"/>
    <row r="2150" ht="45.6" customHeight="1" x14ac:dyDescent="0.3"/>
    <row r="2151" ht="22.8" customHeight="1" x14ac:dyDescent="0.3"/>
    <row r="2152" ht="22.8" customHeight="1" x14ac:dyDescent="0.3"/>
    <row r="2153" ht="22.8" customHeight="1" x14ac:dyDescent="0.3"/>
    <row r="2154" ht="22.8" customHeight="1" x14ac:dyDescent="0.3"/>
    <row r="2155" ht="34.200000000000003" customHeight="1" x14ac:dyDescent="0.3"/>
    <row r="2156" ht="22.8" customHeight="1" x14ac:dyDescent="0.3"/>
    <row r="2157" ht="45.6" customHeight="1" x14ac:dyDescent="0.3"/>
    <row r="2158" ht="34.200000000000003" customHeight="1" x14ac:dyDescent="0.3"/>
    <row r="2159" ht="45.6" customHeight="1" x14ac:dyDescent="0.3"/>
    <row r="2160" ht="34.200000000000003" customHeight="1" x14ac:dyDescent="0.3"/>
    <row r="2161" ht="57" customHeight="1" x14ac:dyDescent="0.3"/>
    <row r="2162" ht="34.200000000000003" customHeight="1" x14ac:dyDescent="0.3"/>
    <row r="2166" ht="22.8" customHeight="1" x14ac:dyDescent="0.3"/>
    <row r="2167" ht="22.8" customHeight="1" x14ac:dyDescent="0.3"/>
    <row r="2169" ht="22.8" customHeight="1" x14ac:dyDescent="0.3"/>
    <row r="2170" ht="34.200000000000003" customHeight="1" x14ac:dyDescent="0.3"/>
    <row r="2171" ht="34.200000000000003" customHeight="1" x14ac:dyDescent="0.3"/>
    <row r="2172" ht="45.6" customHeight="1" x14ac:dyDescent="0.3"/>
    <row r="2173" ht="34.200000000000003" customHeight="1" x14ac:dyDescent="0.3"/>
    <row r="2174" ht="34.200000000000003" customHeight="1" x14ac:dyDescent="0.3"/>
    <row r="2175" ht="22.8" customHeight="1" x14ac:dyDescent="0.3"/>
    <row r="2176" ht="34.200000000000003" customHeight="1" x14ac:dyDescent="0.3"/>
    <row r="2177" ht="34.200000000000003" customHeight="1" x14ac:dyDescent="0.3"/>
    <row r="2178" ht="22.8" customHeight="1" x14ac:dyDescent="0.3"/>
    <row r="2179" ht="34.200000000000003" customHeight="1" x14ac:dyDescent="0.3"/>
    <row r="2180" ht="22.8" customHeight="1" x14ac:dyDescent="0.3"/>
    <row r="2181" ht="34.200000000000003" customHeight="1" x14ac:dyDescent="0.3"/>
    <row r="2182" ht="34.200000000000003" customHeight="1" x14ac:dyDescent="0.3"/>
    <row r="2183" ht="34.200000000000003" customHeight="1" x14ac:dyDescent="0.3"/>
    <row r="2185" ht="22.8" customHeight="1" x14ac:dyDescent="0.3"/>
    <row r="2186" ht="22.8" customHeight="1" x14ac:dyDescent="0.3"/>
    <row r="2189" ht="34.200000000000003" customHeight="1" x14ac:dyDescent="0.3"/>
    <row r="2190" ht="22.8" customHeight="1" x14ac:dyDescent="0.3"/>
    <row r="2191" ht="34.200000000000003" customHeight="1" x14ac:dyDescent="0.3"/>
    <row r="2192" ht="34.200000000000003" customHeight="1" x14ac:dyDescent="0.3"/>
    <row r="2193" ht="22.8" customHeight="1" x14ac:dyDescent="0.3"/>
    <row r="2194" ht="22.8" customHeight="1" x14ac:dyDescent="0.3"/>
    <row r="2195" ht="45.6" customHeight="1" x14ac:dyDescent="0.3"/>
    <row r="2196" ht="22.8" customHeight="1" x14ac:dyDescent="0.3"/>
    <row r="2197" ht="22.8" customHeight="1" x14ac:dyDescent="0.3"/>
    <row r="2198" ht="22.8" customHeight="1" x14ac:dyDescent="0.3"/>
    <row r="2199" ht="22.8" customHeight="1" x14ac:dyDescent="0.3"/>
    <row r="2200" ht="34.200000000000003" customHeight="1" x14ac:dyDescent="0.3"/>
    <row r="2202" ht="34.200000000000003" customHeight="1" x14ac:dyDescent="0.3"/>
    <row r="2203" ht="22.8" customHeight="1" x14ac:dyDescent="0.3"/>
    <row r="2206" ht="22.8" customHeight="1" x14ac:dyDescent="0.3"/>
    <row r="2208" ht="22.8" customHeight="1" x14ac:dyDescent="0.3"/>
    <row r="2209" ht="22.8" customHeight="1" x14ac:dyDescent="0.3"/>
    <row r="2210" ht="22.8" customHeight="1" x14ac:dyDescent="0.3"/>
    <row r="2213" ht="22.8" customHeight="1" x14ac:dyDescent="0.3"/>
    <row r="2214" ht="57" customHeight="1" x14ac:dyDescent="0.3"/>
    <row r="2215" ht="22.8" customHeight="1" x14ac:dyDescent="0.3"/>
    <row r="2216" ht="22.8" customHeight="1" x14ac:dyDescent="0.3"/>
    <row r="2217" ht="22.8" customHeight="1" x14ac:dyDescent="0.3"/>
    <row r="2218" ht="34.200000000000003" customHeight="1" x14ac:dyDescent="0.3"/>
    <row r="2219" ht="22.8" customHeight="1" x14ac:dyDescent="0.3"/>
    <row r="2221" ht="22.8" customHeight="1" x14ac:dyDescent="0.3"/>
    <row r="2222" ht="34.200000000000003" customHeight="1" x14ac:dyDescent="0.3"/>
    <row r="2224" ht="34.200000000000003" customHeight="1" x14ac:dyDescent="0.3"/>
    <row r="2225" ht="34.200000000000003" customHeight="1" x14ac:dyDescent="0.3"/>
    <row r="2226" ht="57" customHeight="1" x14ac:dyDescent="0.3"/>
    <row r="2227" ht="22.8" customHeight="1" x14ac:dyDescent="0.3"/>
    <row r="2229" ht="22.8" customHeight="1" x14ac:dyDescent="0.3"/>
    <row r="2230" ht="34.200000000000003" customHeight="1" x14ac:dyDescent="0.3"/>
    <row r="2231" ht="22.8" customHeight="1" x14ac:dyDescent="0.3"/>
    <row r="2232" ht="22.8" customHeight="1" x14ac:dyDescent="0.3"/>
    <row r="2233" ht="22.8" customHeight="1" x14ac:dyDescent="0.3"/>
    <row r="2234" ht="22.8" customHeight="1" x14ac:dyDescent="0.3"/>
    <row r="2235" ht="45.6" customHeight="1" x14ac:dyDescent="0.3"/>
    <row r="2236" ht="22.8" customHeight="1" x14ac:dyDescent="0.3"/>
    <row r="2237" ht="34.200000000000003" customHeight="1" x14ac:dyDescent="0.3"/>
    <row r="2238" ht="34.200000000000003" customHeight="1" x14ac:dyDescent="0.3"/>
    <row r="2239" ht="22.8" customHeight="1" x14ac:dyDescent="0.3"/>
    <row r="2241" ht="34.200000000000003" customHeight="1" x14ac:dyDescent="0.3"/>
    <row r="2242" ht="22.8" customHeight="1" x14ac:dyDescent="0.3"/>
    <row r="2243" ht="34.200000000000003" customHeight="1" x14ac:dyDescent="0.3"/>
    <row r="2244" ht="22.8" customHeight="1" x14ac:dyDescent="0.3"/>
    <row r="2245" ht="22.8" customHeight="1" x14ac:dyDescent="0.3"/>
    <row r="2246" ht="22.8" customHeight="1" x14ac:dyDescent="0.3"/>
    <row r="2247" ht="22.8" customHeight="1" x14ac:dyDescent="0.3"/>
    <row r="2248" ht="22.8" customHeight="1" x14ac:dyDescent="0.3"/>
    <row r="2249" ht="22.8" customHeight="1" x14ac:dyDescent="0.3"/>
    <row r="2250" ht="22.8" customHeight="1" x14ac:dyDescent="0.3"/>
    <row r="2251" ht="22.8" customHeight="1" x14ac:dyDescent="0.3"/>
    <row r="2253" ht="57" customHeight="1" x14ac:dyDescent="0.3"/>
    <row r="2254" ht="22.8" customHeight="1" x14ac:dyDescent="0.3"/>
    <row r="2255" ht="22.8" customHeight="1" x14ac:dyDescent="0.3"/>
    <row r="2258" ht="34.200000000000003" customHeight="1" x14ac:dyDescent="0.3"/>
    <row r="2259" ht="22.8" customHeight="1" x14ac:dyDescent="0.3"/>
    <row r="2262" ht="34.200000000000003" customHeight="1" x14ac:dyDescent="0.3"/>
    <row r="2264" ht="34.200000000000003" customHeight="1" x14ac:dyDescent="0.3"/>
    <row r="2266" ht="22.8" customHeight="1" x14ac:dyDescent="0.3"/>
    <row r="2267" ht="22.8" customHeight="1" x14ac:dyDescent="0.3"/>
    <row r="2268" ht="57" customHeight="1" x14ac:dyDescent="0.3"/>
    <row r="2269" ht="79.8" customHeight="1" x14ac:dyDescent="0.3"/>
    <row r="2270" ht="79.8" customHeight="1" x14ac:dyDescent="0.3"/>
    <row r="2271" ht="34.200000000000003" customHeight="1" x14ac:dyDescent="0.3"/>
    <row r="2274" ht="34.200000000000003" customHeight="1" x14ac:dyDescent="0.3"/>
    <row r="2275" ht="45.6" customHeight="1" x14ac:dyDescent="0.3"/>
    <row r="2278" ht="57" customHeight="1" x14ac:dyDescent="0.3"/>
    <row r="2280" ht="34.200000000000003" customHeight="1" x14ac:dyDescent="0.3"/>
    <row r="2281" ht="22.8" customHeight="1" x14ac:dyDescent="0.3"/>
    <row r="2282" ht="34.200000000000003" customHeight="1" x14ac:dyDescent="0.3"/>
    <row r="2283" ht="34.200000000000003" customHeight="1" x14ac:dyDescent="0.3"/>
    <row r="2284" ht="22.8" customHeight="1" x14ac:dyDescent="0.3"/>
    <row r="2285" ht="34.200000000000003" customHeight="1" x14ac:dyDescent="0.3"/>
    <row r="2286" ht="34.200000000000003" customHeight="1" x14ac:dyDescent="0.3"/>
    <row r="2287" ht="22.8" customHeight="1" x14ac:dyDescent="0.3"/>
    <row r="2288" ht="45.6" customHeight="1" x14ac:dyDescent="0.3"/>
    <row r="2289" ht="34.200000000000003" customHeight="1" x14ac:dyDescent="0.3"/>
    <row r="2290" ht="45.6" customHeight="1" x14ac:dyDescent="0.3"/>
    <row r="2291" ht="34.200000000000003" customHeight="1" x14ac:dyDescent="0.3"/>
    <row r="2292" ht="22.8" customHeight="1" x14ac:dyDescent="0.3"/>
    <row r="2293" ht="68.400000000000006" customHeight="1" x14ac:dyDescent="0.3"/>
    <row r="2294" ht="57" customHeight="1" x14ac:dyDescent="0.3"/>
    <row r="2295" ht="57" customHeight="1" x14ac:dyDescent="0.3"/>
    <row r="2296" ht="45.6" customHeight="1" x14ac:dyDescent="0.3"/>
    <row r="2297" ht="34.200000000000003" customHeight="1" x14ac:dyDescent="0.3"/>
    <row r="2298" ht="57" customHeight="1" x14ac:dyDescent="0.3"/>
    <row r="2299" ht="68.400000000000006" customHeight="1" x14ac:dyDescent="0.3"/>
    <row r="2300" ht="68.400000000000006" customHeight="1" x14ac:dyDescent="0.3"/>
    <row r="2301" ht="57" customHeight="1" x14ac:dyDescent="0.3"/>
    <row r="2302" ht="45.6" customHeight="1" x14ac:dyDescent="0.3"/>
    <row r="2303" ht="22.8" customHeight="1" x14ac:dyDescent="0.3"/>
    <row r="2304" ht="22.8" customHeight="1" x14ac:dyDescent="0.3"/>
    <row r="2305" ht="45.6" customHeight="1" x14ac:dyDescent="0.3"/>
    <row r="2306" ht="57" customHeight="1" x14ac:dyDescent="0.3"/>
    <row r="2307" ht="22.8" customHeight="1" x14ac:dyDescent="0.3"/>
    <row r="2308" ht="34.200000000000003" customHeight="1" x14ac:dyDescent="0.3"/>
    <row r="2309" ht="45.6" customHeight="1" x14ac:dyDescent="0.3"/>
    <row r="2310" ht="22.8" customHeight="1" x14ac:dyDescent="0.3"/>
    <row r="2311" ht="34.200000000000003" customHeight="1" x14ac:dyDescent="0.3"/>
    <row r="2312" ht="34.200000000000003" customHeight="1" x14ac:dyDescent="0.3"/>
    <row r="2313" ht="34.200000000000003" customHeight="1" x14ac:dyDescent="0.3"/>
    <row r="2314" ht="34.200000000000003" customHeight="1" x14ac:dyDescent="0.3"/>
    <row r="2315" ht="34.200000000000003" customHeight="1" x14ac:dyDescent="0.3"/>
    <row r="2316" ht="22.8" customHeight="1" x14ac:dyDescent="0.3"/>
    <row r="2317" ht="34.200000000000003" customHeight="1" x14ac:dyDescent="0.3"/>
    <row r="2318" ht="34.200000000000003" customHeight="1" x14ac:dyDescent="0.3"/>
    <row r="2319" ht="22.8" customHeight="1" x14ac:dyDescent="0.3"/>
    <row r="2320" ht="34.200000000000003" customHeight="1" x14ac:dyDescent="0.3"/>
    <row r="2321" ht="45.6" customHeight="1" x14ac:dyDescent="0.3"/>
    <row r="2322" ht="34.200000000000003" customHeight="1" x14ac:dyDescent="0.3"/>
    <row r="2323" ht="34.200000000000003" customHeight="1" x14ac:dyDescent="0.3"/>
    <row r="2324" ht="34.200000000000003" customHeight="1" x14ac:dyDescent="0.3"/>
    <row r="2325" ht="34.200000000000003" customHeight="1" x14ac:dyDescent="0.3"/>
    <row r="2326" ht="34.200000000000003" customHeight="1" x14ac:dyDescent="0.3"/>
    <row r="2327" ht="34.200000000000003" customHeight="1" x14ac:dyDescent="0.3"/>
    <row r="2328" ht="34.200000000000003" customHeight="1" x14ac:dyDescent="0.3"/>
    <row r="2329" ht="22.8" customHeight="1" x14ac:dyDescent="0.3"/>
    <row r="2330" ht="34.200000000000003" customHeight="1" x14ac:dyDescent="0.3"/>
    <row r="2331" ht="45.6" customHeight="1" x14ac:dyDescent="0.3"/>
    <row r="2332" ht="34.200000000000003" customHeight="1" x14ac:dyDescent="0.3"/>
    <row r="2333" ht="45.6" customHeight="1" x14ac:dyDescent="0.3"/>
    <row r="2334" ht="34.200000000000003" customHeight="1" x14ac:dyDescent="0.3"/>
    <row r="2335" ht="34.200000000000003" customHeight="1" x14ac:dyDescent="0.3"/>
    <row r="2336" ht="34.200000000000003" customHeight="1" x14ac:dyDescent="0.3"/>
    <row r="2337" ht="45.6" customHeight="1" x14ac:dyDescent="0.3"/>
    <row r="2338" ht="34.200000000000003" customHeight="1" x14ac:dyDescent="0.3"/>
    <row r="2339" ht="45.6" customHeight="1" x14ac:dyDescent="0.3"/>
    <row r="2340" ht="22.8" customHeight="1" x14ac:dyDescent="0.3"/>
    <row r="2341" ht="34.200000000000003" customHeight="1" x14ac:dyDescent="0.3"/>
    <row r="2342" ht="34.200000000000003" customHeight="1" x14ac:dyDescent="0.3"/>
    <row r="2343" ht="34.200000000000003" customHeight="1" x14ac:dyDescent="0.3"/>
    <row r="2345" ht="22.8" customHeight="1" x14ac:dyDescent="0.3"/>
    <row r="2346" ht="45.6" customHeight="1" x14ac:dyDescent="0.3"/>
    <row r="2347" ht="22.8" customHeight="1" x14ac:dyDescent="0.3"/>
    <row r="2348" ht="22.8" customHeight="1" x14ac:dyDescent="0.3"/>
    <row r="2349" ht="22.8" customHeight="1" x14ac:dyDescent="0.3"/>
    <row r="2350" ht="22.8" customHeight="1" x14ac:dyDescent="0.3"/>
    <row r="2351" ht="45.6" customHeight="1" x14ac:dyDescent="0.3"/>
    <row r="2352" ht="22.8" customHeight="1" x14ac:dyDescent="0.3"/>
    <row r="2353" ht="45.6" customHeight="1" x14ac:dyDescent="0.3"/>
    <row r="2354" ht="34.200000000000003" customHeight="1" x14ac:dyDescent="0.3"/>
    <row r="2355" ht="45.6" customHeight="1" x14ac:dyDescent="0.3"/>
    <row r="2356" ht="34.200000000000003" customHeight="1" x14ac:dyDescent="0.3"/>
    <row r="2357" ht="34.200000000000003" customHeight="1" x14ac:dyDescent="0.3"/>
    <row r="2358" ht="22.8" customHeight="1" x14ac:dyDescent="0.3"/>
    <row r="2359" ht="45.6" customHeight="1" x14ac:dyDescent="0.3"/>
    <row r="2360" ht="34.200000000000003" customHeight="1" x14ac:dyDescent="0.3"/>
    <row r="2361" ht="34.200000000000003" customHeight="1" x14ac:dyDescent="0.3"/>
    <row r="2362" ht="45.6" customHeight="1" x14ac:dyDescent="0.3"/>
    <row r="2363" ht="34.200000000000003" customHeight="1" x14ac:dyDescent="0.3"/>
    <row r="2364" ht="57" customHeight="1" x14ac:dyDescent="0.3"/>
    <row r="2365" ht="45.6" customHeight="1" x14ac:dyDescent="0.3"/>
    <row r="2366" ht="57" customHeight="1" x14ac:dyDescent="0.3"/>
    <row r="2367" ht="34.200000000000003" customHeight="1" x14ac:dyDescent="0.3"/>
    <row r="2368" ht="22.8" customHeight="1" x14ac:dyDescent="0.3"/>
    <row r="2369" ht="45.6" customHeight="1" x14ac:dyDescent="0.3"/>
    <row r="2370" ht="57" customHeight="1" x14ac:dyDescent="0.3"/>
    <row r="2371" ht="45.6" customHeight="1" x14ac:dyDescent="0.3"/>
    <row r="2372" ht="45.6" customHeight="1" x14ac:dyDescent="0.3"/>
    <row r="2373" ht="22.8" customHeight="1" x14ac:dyDescent="0.3"/>
    <row r="2374" ht="45.6" customHeight="1" x14ac:dyDescent="0.3"/>
    <row r="2375" ht="45.6" customHeight="1" x14ac:dyDescent="0.3"/>
    <row r="2376" ht="22.8" customHeight="1" x14ac:dyDescent="0.3"/>
    <row r="2377" ht="34.200000000000003" customHeight="1" x14ac:dyDescent="0.3"/>
    <row r="2378" ht="45.6" customHeight="1" x14ac:dyDescent="0.3"/>
    <row r="2379" ht="34.200000000000003" customHeight="1" x14ac:dyDescent="0.3"/>
    <row r="2380" ht="34.200000000000003" customHeight="1" x14ac:dyDescent="0.3"/>
    <row r="2381" ht="34.200000000000003" customHeight="1" x14ac:dyDescent="0.3"/>
    <row r="2382" ht="57" customHeight="1" x14ac:dyDescent="0.3"/>
    <row r="2383" ht="68.400000000000006" customHeight="1" x14ac:dyDescent="0.3"/>
    <row r="2384" ht="57" customHeight="1" x14ac:dyDescent="0.3"/>
    <row r="2385" ht="45.6" customHeight="1" x14ac:dyDescent="0.3"/>
    <row r="2386" ht="45.6" customHeight="1" x14ac:dyDescent="0.3"/>
    <row r="2387" ht="57" customHeight="1" x14ac:dyDescent="0.3"/>
    <row r="2388" ht="34.200000000000003" customHeight="1" x14ac:dyDescent="0.3"/>
    <row r="2389" ht="45.6" customHeight="1" x14ac:dyDescent="0.3"/>
    <row r="2390" ht="57" customHeight="1" x14ac:dyDescent="0.3"/>
    <row r="2391" ht="57" customHeight="1" x14ac:dyDescent="0.3"/>
    <row r="2392" ht="22.8" customHeight="1" x14ac:dyDescent="0.3"/>
    <row r="2393" ht="34.200000000000003" customHeight="1" x14ac:dyDescent="0.3"/>
    <row r="2394" ht="34.200000000000003" customHeight="1" x14ac:dyDescent="0.3"/>
    <row r="2395" ht="22.8" customHeight="1" x14ac:dyDescent="0.3"/>
    <row r="2396" ht="57" customHeight="1" x14ac:dyDescent="0.3"/>
    <row r="2398" ht="22.8" customHeight="1" x14ac:dyDescent="0.3"/>
    <row r="2399" ht="22.8" customHeight="1" x14ac:dyDescent="0.3"/>
    <row r="2400" ht="34.200000000000003" customHeight="1" x14ac:dyDescent="0.3"/>
    <row r="2401" ht="22.8" customHeight="1" x14ac:dyDescent="0.3"/>
    <row r="2402" ht="45.6" customHeight="1" x14ac:dyDescent="0.3"/>
    <row r="2403" ht="45.6" customHeight="1" x14ac:dyDescent="0.3"/>
    <row r="2404" ht="45.6" customHeight="1" x14ac:dyDescent="0.3"/>
    <row r="2405" ht="45.6" customHeight="1" x14ac:dyDescent="0.3"/>
    <row r="2406" ht="57" customHeight="1" x14ac:dyDescent="0.3"/>
    <row r="2407" ht="57" customHeight="1" x14ac:dyDescent="0.3"/>
    <row r="2408" ht="45.6" customHeight="1" x14ac:dyDescent="0.3"/>
    <row r="2409" ht="34.200000000000003" customHeight="1" x14ac:dyDescent="0.3"/>
    <row r="2410" ht="34.200000000000003" customHeight="1" x14ac:dyDescent="0.3"/>
    <row r="2411" ht="22.8" customHeight="1" x14ac:dyDescent="0.3"/>
    <row r="2412" ht="34.200000000000003" customHeight="1" x14ac:dyDescent="0.3"/>
    <row r="2413" ht="22.8" customHeight="1" x14ac:dyDescent="0.3"/>
    <row r="2414" ht="34.200000000000003" customHeight="1" x14ac:dyDescent="0.3"/>
    <row r="2415" ht="34.200000000000003" customHeight="1" x14ac:dyDescent="0.3"/>
    <row r="2416" ht="45.6" customHeight="1" x14ac:dyDescent="0.3"/>
    <row r="2417" ht="22.8" customHeight="1" x14ac:dyDescent="0.3"/>
    <row r="2418" ht="45.6" customHeight="1" x14ac:dyDescent="0.3"/>
    <row r="2419" ht="68.400000000000006" customHeight="1" x14ac:dyDescent="0.3"/>
    <row r="2420" ht="45.6" customHeight="1" x14ac:dyDescent="0.3"/>
    <row r="2421" ht="34.200000000000003" customHeight="1" x14ac:dyDescent="0.3"/>
    <row r="2422" ht="45.6" customHeight="1" x14ac:dyDescent="0.3"/>
    <row r="2423" ht="57" customHeight="1" x14ac:dyDescent="0.3"/>
    <row r="2424" ht="22.8" customHeight="1" x14ac:dyDescent="0.3"/>
    <row r="2425" ht="22.8" customHeight="1" x14ac:dyDescent="0.3"/>
    <row r="2426" ht="22.8" customHeight="1" x14ac:dyDescent="0.3"/>
    <row r="2427" ht="22.8" customHeight="1" x14ac:dyDescent="0.3"/>
    <row r="2428" ht="22.8" customHeight="1" x14ac:dyDescent="0.3"/>
    <row r="2429" ht="22.8" customHeight="1" x14ac:dyDescent="0.3"/>
    <row r="2430" ht="45.6" customHeight="1" x14ac:dyDescent="0.3"/>
    <row r="2431" ht="22.8" customHeight="1" x14ac:dyDescent="0.3"/>
    <row r="2432" ht="57" customHeight="1" x14ac:dyDescent="0.3"/>
    <row r="2433" ht="57" customHeight="1" x14ac:dyDescent="0.3"/>
    <row r="2434" ht="22.8" customHeight="1" x14ac:dyDescent="0.3"/>
    <row r="2435" ht="22.8" customHeight="1" x14ac:dyDescent="0.3"/>
    <row r="2436" ht="22.8" customHeight="1" x14ac:dyDescent="0.3"/>
    <row r="2437" ht="22.8" customHeight="1" x14ac:dyDescent="0.3"/>
    <row r="2438" ht="34.200000000000003" customHeight="1" x14ac:dyDescent="0.3"/>
    <row r="2439" ht="45.6" customHeight="1" x14ac:dyDescent="0.3"/>
    <row r="2440" ht="45.6" customHeight="1" x14ac:dyDescent="0.3"/>
    <row r="2441" ht="57" customHeight="1" x14ac:dyDescent="0.3"/>
    <row r="2442" ht="34.200000000000003" customHeight="1" x14ac:dyDescent="0.3"/>
    <row r="2443" ht="22.8" customHeight="1" x14ac:dyDescent="0.3"/>
    <row r="2444" ht="22.8" customHeight="1" x14ac:dyDescent="0.3"/>
    <row r="2445" ht="45.6" customHeight="1" x14ac:dyDescent="0.3"/>
    <row r="2446" ht="57" customHeight="1" x14ac:dyDescent="0.3"/>
    <row r="2447" ht="57" customHeight="1" x14ac:dyDescent="0.3"/>
    <row r="2448" ht="57" customHeight="1" x14ac:dyDescent="0.3"/>
    <row r="2449" ht="34.200000000000003" customHeight="1" x14ac:dyDescent="0.3"/>
    <row r="2450" ht="45.6" customHeight="1" x14ac:dyDescent="0.3"/>
    <row r="2451" ht="57" customHeight="1" x14ac:dyDescent="0.3"/>
    <row r="2452" ht="22.8" customHeight="1" x14ac:dyDescent="0.3"/>
    <row r="2453" ht="34.200000000000003" customHeight="1" x14ac:dyDescent="0.3"/>
    <row r="2454" ht="45.6" customHeight="1" x14ac:dyDescent="0.3"/>
    <row r="2455" ht="34.200000000000003" customHeight="1" x14ac:dyDescent="0.3"/>
    <row r="2456" ht="22.8" customHeight="1" x14ac:dyDescent="0.3"/>
    <row r="2457" ht="34.200000000000003" customHeight="1" x14ac:dyDescent="0.3"/>
    <row r="2458" ht="45.6" customHeight="1" x14ac:dyDescent="0.3"/>
    <row r="2459" ht="57" customHeight="1" x14ac:dyDescent="0.3"/>
    <row r="2460" ht="45.6" customHeight="1" x14ac:dyDescent="0.3"/>
    <row r="2461" ht="34.200000000000003" customHeight="1" x14ac:dyDescent="0.3"/>
    <row r="2462" ht="34.200000000000003" customHeight="1" x14ac:dyDescent="0.3"/>
    <row r="2463" ht="34.200000000000003" customHeight="1" x14ac:dyDescent="0.3"/>
    <row r="2464" ht="45.6" customHeight="1" x14ac:dyDescent="0.3"/>
    <row r="2465" ht="45.6" customHeight="1" x14ac:dyDescent="0.3"/>
    <row r="2466" ht="45.6" customHeight="1" x14ac:dyDescent="0.3"/>
    <row r="2467" ht="22.8" customHeight="1" x14ac:dyDescent="0.3"/>
    <row r="2469" ht="22.8" customHeight="1" x14ac:dyDescent="0.3"/>
    <row r="2470" ht="34.200000000000003" customHeight="1" x14ac:dyDescent="0.3"/>
    <row r="2471" ht="22.8" customHeight="1" x14ac:dyDescent="0.3"/>
    <row r="2472" ht="34.200000000000003" customHeight="1" x14ac:dyDescent="0.3"/>
    <row r="2473" ht="34.200000000000003" customHeight="1" x14ac:dyDescent="0.3"/>
    <row r="2474" ht="34.200000000000003" customHeight="1" x14ac:dyDescent="0.3"/>
    <row r="2475" ht="68.400000000000006" customHeight="1" x14ac:dyDescent="0.3"/>
    <row r="2476" ht="34.200000000000003" customHeight="1" x14ac:dyDescent="0.3"/>
    <row r="2477" ht="57" customHeight="1" x14ac:dyDescent="0.3"/>
    <row r="2478" ht="45.6" customHeight="1" x14ac:dyDescent="0.3"/>
    <row r="2479" ht="34.200000000000003" customHeight="1" x14ac:dyDescent="0.3"/>
    <row r="2480" ht="34.200000000000003" customHeight="1" x14ac:dyDescent="0.3"/>
    <row r="2482" ht="22.8" customHeight="1" x14ac:dyDescent="0.3"/>
    <row r="2483" ht="22.8" customHeight="1" x14ac:dyDescent="0.3"/>
    <row r="2484" ht="34.200000000000003" customHeight="1" x14ac:dyDescent="0.3"/>
    <row r="2485" ht="45.6" customHeight="1" x14ac:dyDescent="0.3"/>
    <row r="2486" ht="34.200000000000003" customHeight="1" x14ac:dyDescent="0.3"/>
    <row r="2487" ht="34.200000000000003" customHeight="1" x14ac:dyDescent="0.3"/>
    <row r="2488" ht="57" customHeight="1" x14ac:dyDescent="0.3"/>
    <row r="2489" ht="34.200000000000003" customHeight="1" x14ac:dyDescent="0.3"/>
    <row r="2490" ht="22.8" customHeight="1" x14ac:dyDescent="0.3"/>
    <row r="2491" ht="22.8" customHeight="1" x14ac:dyDescent="0.3"/>
    <row r="2492" ht="22.8" customHeight="1" x14ac:dyDescent="0.3"/>
    <row r="2493" ht="34.200000000000003" customHeight="1" x14ac:dyDescent="0.3"/>
    <row r="2494" ht="34.200000000000003" customHeight="1" x14ac:dyDescent="0.3"/>
    <row r="2495" ht="45.6" customHeight="1" x14ac:dyDescent="0.3"/>
    <row r="2496" ht="45.6" customHeight="1" x14ac:dyDescent="0.3"/>
    <row r="2497" ht="22.8" customHeight="1" x14ac:dyDescent="0.3"/>
    <row r="2498" ht="34.200000000000003" customHeight="1" x14ac:dyDescent="0.3"/>
    <row r="2499" ht="34.200000000000003" customHeight="1" x14ac:dyDescent="0.3"/>
    <row r="2500" ht="45.6" customHeight="1" x14ac:dyDescent="0.3"/>
    <row r="2501" ht="34.200000000000003" customHeight="1" x14ac:dyDescent="0.3"/>
    <row r="2502" ht="22.8" customHeight="1" x14ac:dyDescent="0.3"/>
    <row r="2503" ht="68.400000000000006" customHeight="1" x14ac:dyDescent="0.3"/>
    <row r="2504" ht="57" customHeight="1" x14ac:dyDescent="0.3"/>
    <row r="2505" ht="22.8" customHeight="1" x14ac:dyDescent="0.3"/>
    <row r="2506" ht="22.8" customHeight="1" x14ac:dyDescent="0.3"/>
    <row r="2507" ht="22.8" customHeight="1" x14ac:dyDescent="0.3"/>
    <row r="2508" ht="22.8" customHeight="1" x14ac:dyDescent="0.3"/>
    <row r="2509" ht="22.8" customHeight="1" x14ac:dyDescent="0.3"/>
    <row r="2510" ht="22.8" customHeight="1" x14ac:dyDescent="0.3"/>
    <row r="2511" ht="34.200000000000003" customHeight="1" x14ac:dyDescent="0.3"/>
    <row r="2512" ht="34.200000000000003" customHeight="1" x14ac:dyDescent="0.3"/>
    <row r="2513" ht="22.8" customHeight="1" x14ac:dyDescent="0.3"/>
    <row r="2514" ht="34.200000000000003" customHeight="1" x14ac:dyDescent="0.3"/>
    <row r="2515" ht="22.8" customHeight="1" x14ac:dyDescent="0.3"/>
    <row r="2516" ht="22.8" customHeight="1" x14ac:dyDescent="0.3"/>
    <row r="2517" ht="45.6" customHeight="1" x14ac:dyDescent="0.3"/>
    <row r="2518" ht="34.200000000000003" customHeight="1" x14ac:dyDescent="0.3"/>
    <row r="2519" ht="57" customHeight="1" x14ac:dyDescent="0.3"/>
    <row r="2520" ht="34.200000000000003" customHeight="1" x14ac:dyDescent="0.3"/>
    <row r="2521" ht="34.200000000000003" customHeight="1" x14ac:dyDescent="0.3"/>
    <row r="2522" ht="45.6" customHeight="1" x14ac:dyDescent="0.3"/>
    <row r="2523" ht="57" customHeight="1" x14ac:dyDescent="0.3"/>
    <row r="2524" ht="34.200000000000003" customHeight="1" x14ac:dyDescent="0.3"/>
    <row r="2525" ht="34.200000000000003" customHeight="1" x14ac:dyDescent="0.3"/>
    <row r="2526" ht="45.6" customHeight="1" x14ac:dyDescent="0.3"/>
    <row r="2527" ht="34.200000000000003" customHeight="1" x14ac:dyDescent="0.3"/>
    <row r="2528" ht="34.200000000000003" customHeight="1" x14ac:dyDescent="0.3"/>
    <row r="2529" ht="34.200000000000003" customHeight="1" x14ac:dyDescent="0.3"/>
    <row r="2530" ht="34.200000000000003" customHeight="1" x14ac:dyDescent="0.3"/>
    <row r="2531" ht="34.200000000000003" customHeight="1" x14ac:dyDescent="0.3"/>
    <row r="2532" ht="34.200000000000003" customHeight="1" x14ac:dyDescent="0.3"/>
    <row r="2533" ht="22.8" customHeight="1" x14ac:dyDescent="0.3"/>
    <row r="2534" ht="34.200000000000003" customHeight="1" x14ac:dyDescent="0.3"/>
    <row r="2535" ht="45.6" customHeight="1" x14ac:dyDescent="0.3"/>
    <row r="2536" ht="34.200000000000003" customHeight="1" x14ac:dyDescent="0.3"/>
    <row r="2537" ht="45.6" customHeight="1" x14ac:dyDescent="0.3"/>
    <row r="2538" ht="45.6" customHeight="1" x14ac:dyDescent="0.3"/>
    <row r="2539" ht="22.8" customHeight="1" x14ac:dyDescent="0.3"/>
    <row r="2540" ht="22.8" customHeight="1" x14ac:dyDescent="0.3"/>
    <row r="2541" ht="34.200000000000003" customHeight="1" x14ac:dyDescent="0.3"/>
    <row r="2542" ht="22.8" customHeight="1" x14ac:dyDescent="0.3"/>
    <row r="2543" ht="34.200000000000003" customHeight="1" x14ac:dyDescent="0.3"/>
    <row r="2544" ht="34.200000000000003" customHeight="1" x14ac:dyDescent="0.3"/>
    <row r="2545" ht="34.200000000000003" customHeight="1" x14ac:dyDescent="0.3"/>
    <row r="2546" ht="45.6" customHeight="1" x14ac:dyDescent="0.3"/>
    <row r="2547" ht="22.8" customHeight="1" x14ac:dyDescent="0.3"/>
    <row r="2548" ht="22.8" customHeight="1" x14ac:dyDescent="0.3"/>
    <row r="2549" ht="22.8" customHeight="1" x14ac:dyDescent="0.3"/>
    <row r="2550" ht="22.8" customHeight="1" x14ac:dyDescent="0.3"/>
    <row r="2551" ht="34.200000000000003" customHeight="1" x14ac:dyDescent="0.3"/>
    <row r="2552" ht="22.8" customHeight="1" x14ac:dyDescent="0.3"/>
    <row r="2553" ht="34.200000000000003" customHeight="1" x14ac:dyDescent="0.3"/>
    <row r="2554" ht="22.8" customHeight="1" x14ac:dyDescent="0.3"/>
    <row r="2555" ht="34.200000000000003" customHeight="1" x14ac:dyDescent="0.3"/>
    <row r="2556" ht="45.6" customHeight="1" x14ac:dyDescent="0.3"/>
    <row r="2557" ht="57" customHeight="1" x14ac:dyDescent="0.3"/>
    <row r="2558" ht="22.8" customHeight="1" x14ac:dyDescent="0.3"/>
    <row r="2559" ht="45.6" customHeight="1" x14ac:dyDescent="0.3"/>
    <row r="2560" ht="45.6" customHeight="1" x14ac:dyDescent="0.3"/>
    <row r="2561" ht="34.200000000000003" customHeight="1" x14ac:dyDescent="0.3"/>
    <row r="2562" ht="34.200000000000003" customHeight="1" x14ac:dyDescent="0.3"/>
    <row r="2563" ht="34.200000000000003" customHeight="1" x14ac:dyDescent="0.3"/>
    <row r="2564" ht="34.200000000000003" customHeight="1" x14ac:dyDescent="0.3"/>
    <row r="2565" ht="22.8" customHeight="1" x14ac:dyDescent="0.3"/>
    <row r="2566" ht="34.200000000000003" customHeight="1" x14ac:dyDescent="0.3"/>
    <row r="2567" ht="45.6" customHeight="1" x14ac:dyDescent="0.3"/>
    <row r="2568" ht="34.200000000000003" customHeight="1" x14ac:dyDescent="0.3"/>
    <row r="2569" ht="22.8" customHeight="1" x14ac:dyDescent="0.3"/>
    <row r="2570" ht="34.200000000000003" customHeight="1" x14ac:dyDescent="0.3"/>
    <row r="2571" ht="34.200000000000003" customHeight="1" x14ac:dyDescent="0.3"/>
    <row r="2572" ht="34.200000000000003" customHeight="1" x14ac:dyDescent="0.3"/>
    <row r="2573" ht="34.200000000000003" customHeight="1" x14ac:dyDescent="0.3"/>
    <row r="2574" ht="34.200000000000003" customHeight="1" x14ac:dyDescent="0.3"/>
    <row r="2575" ht="22.8" customHeight="1" x14ac:dyDescent="0.3"/>
    <row r="2576" ht="34.200000000000003" customHeight="1" x14ac:dyDescent="0.3"/>
    <row r="2577" ht="45.6" customHeight="1" x14ac:dyDescent="0.3"/>
    <row r="2578" ht="45.6" customHeight="1" x14ac:dyDescent="0.3"/>
    <row r="2579" ht="45.6" customHeight="1" x14ac:dyDescent="0.3"/>
    <row r="2580" ht="34.200000000000003" customHeight="1" x14ac:dyDescent="0.3"/>
    <row r="2581" ht="34.200000000000003" customHeight="1" x14ac:dyDescent="0.3"/>
    <row r="2582" ht="45.6" customHeight="1" x14ac:dyDescent="0.3"/>
    <row r="2583" ht="22.8" customHeight="1" x14ac:dyDescent="0.3"/>
    <row r="2584" ht="34.200000000000003" customHeight="1" x14ac:dyDescent="0.3"/>
    <row r="2585" ht="34.200000000000003" customHeight="1" x14ac:dyDescent="0.3"/>
    <row r="2586" ht="45.6" customHeight="1" x14ac:dyDescent="0.3"/>
    <row r="2587" ht="22.8" customHeight="1" x14ac:dyDescent="0.3"/>
    <row r="2588" ht="45.6" customHeight="1" x14ac:dyDescent="0.3"/>
    <row r="2589" ht="34.200000000000003" customHeight="1" x14ac:dyDescent="0.3"/>
    <row r="2590" ht="34.200000000000003" customHeight="1" x14ac:dyDescent="0.3"/>
    <row r="2591" ht="34.200000000000003" customHeight="1" x14ac:dyDescent="0.3"/>
    <row r="2592" ht="45.6" customHeight="1" x14ac:dyDescent="0.3"/>
    <row r="2593" ht="45.6" customHeight="1" x14ac:dyDescent="0.3"/>
    <row r="2594" ht="34.200000000000003" customHeight="1" x14ac:dyDescent="0.3"/>
    <row r="2595" ht="45.6" customHeight="1" x14ac:dyDescent="0.3"/>
    <row r="2596" ht="34.200000000000003" customHeight="1" x14ac:dyDescent="0.3"/>
    <row r="2597" ht="22.8" customHeight="1" x14ac:dyDescent="0.3"/>
    <row r="2598" ht="22.8" customHeight="1" x14ac:dyDescent="0.3"/>
    <row r="2599" ht="34.200000000000003" customHeight="1" x14ac:dyDescent="0.3"/>
    <row r="2600" ht="45.6" customHeight="1" x14ac:dyDescent="0.3"/>
    <row r="2601" ht="34.200000000000003" customHeight="1" x14ac:dyDescent="0.3"/>
    <row r="2602" ht="34.200000000000003" customHeight="1" x14ac:dyDescent="0.3"/>
    <row r="2603" ht="34.200000000000003" customHeight="1" x14ac:dyDescent="0.3"/>
    <row r="2604" ht="22.8" customHeight="1" x14ac:dyDescent="0.3"/>
    <row r="2605" ht="34.200000000000003" customHeight="1" x14ac:dyDescent="0.3"/>
    <row r="2606" ht="57" customHeight="1" x14ac:dyDescent="0.3"/>
    <row r="2607" ht="22.8" customHeight="1" x14ac:dyDescent="0.3"/>
    <row r="2608" ht="22.8" customHeight="1" x14ac:dyDescent="0.3"/>
    <row r="2609" ht="22.8" customHeight="1" x14ac:dyDescent="0.3"/>
    <row r="2610" ht="22.8" customHeight="1" x14ac:dyDescent="0.3"/>
    <row r="2611" ht="34.200000000000003" customHeight="1" x14ac:dyDescent="0.3"/>
    <row r="2612" ht="57" customHeight="1" x14ac:dyDescent="0.3"/>
    <row r="2613" ht="45.6" customHeight="1" x14ac:dyDescent="0.3"/>
    <row r="2614" ht="34.200000000000003" customHeight="1" x14ac:dyDescent="0.3"/>
    <row r="2615" ht="45.6" customHeight="1" x14ac:dyDescent="0.3"/>
    <row r="2616" ht="22.8" customHeight="1" x14ac:dyDescent="0.3"/>
    <row r="2617" ht="45.6" customHeight="1" x14ac:dyDescent="0.3"/>
    <row r="2618" ht="34.200000000000003" customHeight="1" x14ac:dyDescent="0.3"/>
    <row r="2619" ht="45.6" customHeight="1" x14ac:dyDescent="0.3"/>
    <row r="2620" ht="34.200000000000003" customHeight="1" x14ac:dyDescent="0.3"/>
    <row r="2621" ht="57" customHeight="1" x14ac:dyDescent="0.3"/>
    <row r="2622" ht="22.8" customHeight="1" x14ac:dyDescent="0.3"/>
    <row r="2623" ht="34.200000000000003" customHeight="1" x14ac:dyDescent="0.3"/>
    <row r="2624" ht="45.6" customHeight="1" x14ac:dyDescent="0.3"/>
    <row r="2625" ht="79.8" customHeight="1" x14ac:dyDescent="0.3"/>
    <row r="2626" ht="68.400000000000006" customHeight="1" x14ac:dyDescent="0.3"/>
    <row r="2627" ht="34.200000000000003" customHeight="1" x14ac:dyDescent="0.3"/>
    <row r="2628" ht="34.200000000000003" customHeight="1" x14ac:dyDescent="0.3"/>
    <row r="2629" ht="45.6" customHeight="1" x14ac:dyDescent="0.3"/>
    <row r="2630" ht="34.200000000000003" customHeight="1" x14ac:dyDescent="0.3"/>
    <row r="2631" ht="45.6" customHeight="1" x14ac:dyDescent="0.3"/>
    <row r="2632" ht="34.200000000000003" customHeight="1" x14ac:dyDescent="0.3"/>
    <row r="2633" ht="34.200000000000003" customHeight="1" x14ac:dyDescent="0.3"/>
    <row r="2634" ht="45.6" customHeight="1" x14ac:dyDescent="0.3"/>
    <row r="2635" ht="34.200000000000003" customHeight="1" x14ac:dyDescent="0.3"/>
    <row r="2636" ht="34.200000000000003" customHeight="1" x14ac:dyDescent="0.3"/>
    <row r="2637" ht="34.200000000000003" customHeight="1" x14ac:dyDescent="0.3"/>
    <row r="2638" ht="34.200000000000003" customHeight="1" x14ac:dyDescent="0.3"/>
    <row r="2639" ht="45.6" customHeight="1" x14ac:dyDescent="0.3"/>
    <row r="2640" ht="22.8" customHeight="1" x14ac:dyDescent="0.3"/>
    <row r="2641" ht="34.200000000000003" customHeight="1" x14ac:dyDescent="0.3"/>
    <row r="2642" ht="45.6" customHeight="1" x14ac:dyDescent="0.3"/>
    <row r="2644" ht="34.200000000000003" customHeight="1" x14ac:dyDescent="0.3"/>
    <row r="2645" ht="34.200000000000003" customHeight="1" x14ac:dyDescent="0.3"/>
    <row r="2646" ht="34.200000000000003" customHeight="1" x14ac:dyDescent="0.3"/>
    <row r="2647" ht="34.200000000000003" customHeight="1" x14ac:dyDescent="0.3"/>
    <row r="2648" ht="34.200000000000003" customHeight="1" x14ac:dyDescent="0.3"/>
    <row r="2649" ht="34.200000000000003" customHeight="1" x14ac:dyDescent="0.3"/>
    <row r="2650" ht="22.8" customHeight="1" x14ac:dyDescent="0.3"/>
    <row r="2651" ht="22.8" customHeight="1" x14ac:dyDescent="0.3"/>
    <row r="2652" ht="34.200000000000003" customHeight="1" x14ac:dyDescent="0.3"/>
    <row r="2653" ht="34.200000000000003" customHeight="1" x14ac:dyDescent="0.3"/>
    <row r="2654" ht="45.6" customHeight="1" x14ac:dyDescent="0.3"/>
    <row r="2655" ht="34.200000000000003" customHeight="1" x14ac:dyDescent="0.3"/>
    <row r="2656" ht="34.200000000000003" customHeight="1" x14ac:dyDescent="0.3"/>
    <row r="2657" ht="45.6" customHeight="1" x14ac:dyDescent="0.3"/>
    <row r="2658" ht="45.6" customHeight="1" x14ac:dyDescent="0.3"/>
    <row r="2659" ht="45.6" customHeight="1" x14ac:dyDescent="0.3"/>
    <row r="2660" ht="34.200000000000003" customHeight="1" x14ac:dyDescent="0.3"/>
    <row r="2661" ht="45.6" customHeight="1" x14ac:dyDescent="0.3"/>
    <row r="2662" ht="57" customHeight="1" x14ac:dyDescent="0.3"/>
    <row r="2663" ht="45.6" customHeight="1" x14ac:dyDescent="0.3"/>
    <row r="2664" ht="45.6" customHeight="1" x14ac:dyDescent="0.3"/>
    <row r="2665" ht="45.6" customHeight="1" x14ac:dyDescent="0.3"/>
    <row r="2666" ht="57" customHeight="1" x14ac:dyDescent="0.3"/>
    <row r="2667" ht="57" customHeight="1" x14ac:dyDescent="0.3"/>
    <row r="2668" ht="57" customHeight="1" x14ac:dyDescent="0.3"/>
    <row r="2669" ht="45.6" customHeight="1" x14ac:dyDescent="0.3"/>
    <row r="2670" ht="45.6" customHeight="1" x14ac:dyDescent="0.3"/>
    <row r="2671" ht="45.6" customHeight="1" x14ac:dyDescent="0.3"/>
    <row r="2672" ht="34.200000000000003" customHeight="1" x14ac:dyDescent="0.3"/>
    <row r="2673" ht="22.8" customHeight="1" x14ac:dyDescent="0.3"/>
    <row r="2674" ht="22.8" customHeight="1" x14ac:dyDescent="0.3"/>
    <row r="2675" ht="22.8" customHeight="1" x14ac:dyDescent="0.3"/>
    <row r="2676" ht="22.8" customHeight="1" x14ac:dyDescent="0.3"/>
    <row r="2677" ht="22.8" customHeight="1" x14ac:dyDescent="0.3"/>
    <row r="2679" ht="45.6" customHeight="1" x14ac:dyDescent="0.3"/>
    <row r="2680" ht="34.200000000000003" customHeight="1" x14ac:dyDescent="0.3"/>
    <row r="2681" ht="45.6" customHeight="1" x14ac:dyDescent="0.3"/>
    <row r="2682" ht="34.200000000000003" customHeight="1" x14ac:dyDescent="0.3"/>
    <row r="2683" ht="22.8" customHeight="1" x14ac:dyDescent="0.3"/>
    <row r="2684" ht="34.200000000000003" customHeight="1" x14ac:dyDescent="0.3"/>
    <row r="2685" ht="34.200000000000003" customHeight="1" x14ac:dyDescent="0.3"/>
    <row r="2686" ht="45.6" customHeight="1" x14ac:dyDescent="0.3"/>
    <row r="2687" ht="34.200000000000003" customHeight="1" x14ac:dyDescent="0.3"/>
    <row r="2688" ht="34.200000000000003" customHeight="1" x14ac:dyDescent="0.3"/>
    <row r="2689" ht="34.200000000000003" customHeight="1" x14ac:dyDescent="0.3"/>
    <row r="2690" ht="34.200000000000003" customHeight="1" x14ac:dyDescent="0.3"/>
    <row r="2691" ht="22.8" customHeight="1" x14ac:dyDescent="0.3"/>
    <row r="2692" ht="45.6" customHeight="1" x14ac:dyDescent="0.3"/>
    <row r="2693" ht="22.8" customHeight="1" x14ac:dyDescent="0.3"/>
    <row r="2694" ht="57" customHeight="1" x14ac:dyDescent="0.3"/>
    <row r="2695" ht="22.8" customHeight="1" x14ac:dyDescent="0.3"/>
    <row r="2696" ht="22.8" customHeight="1" x14ac:dyDescent="0.3"/>
    <row r="2697" ht="45.6" customHeight="1" x14ac:dyDescent="0.3"/>
    <row r="2698" ht="34.200000000000003" customHeight="1" x14ac:dyDescent="0.3"/>
    <row r="2699" ht="34.200000000000003" customHeight="1" x14ac:dyDescent="0.3"/>
    <row r="2700" ht="34.200000000000003" customHeight="1" x14ac:dyDescent="0.3"/>
    <row r="2701" ht="34.200000000000003" customHeight="1" x14ac:dyDescent="0.3"/>
    <row r="2702" ht="45.6" customHeight="1" x14ac:dyDescent="0.3"/>
    <row r="2703" ht="34.200000000000003" customHeight="1" x14ac:dyDescent="0.3"/>
    <row r="2704" ht="34.200000000000003" customHeight="1" x14ac:dyDescent="0.3"/>
    <row r="2705" ht="34.200000000000003" customHeight="1" x14ac:dyDescent="0.3"/>
    <row r="2706" ht="45.6" customHeight="1" x14ac:dyDescent="0.3"/>
    <row r="2707" ht="45.6" customHeight="1" x14ac:dyDescent="0.3"/>
    <row r="2708" ht="45.6" customHeight="1" x14ac:dyDescent="0.3"/>
    <row r="2709" ht="22.8" customHeight="1" x14ac:dyDescent="0.3"/>
    <row r="2710" ht="22.8" customHeight="1" x14ac:dyDescent="0.3"/>
    <row r="2711" ht="22.8" customHeight="1" x14ac:dyDescent="0.3"/>
    <row r="2712" ht="34.200000000000003" customHeight="1" x14ac:dyDescent="0.3"/>
    <row r="2713" ht="57" customHeight="1" x14ac:dyDescent="0.3"/>
    <row r="2714" ht="57" customHeight="1" x14ac:dyDescent="0.3"/>
    <row r="2715" ht="45.6" customHeight="1" x14ac:dyDescent="0.3"/>
    <row r="2716" ht="68.400000000000006" customHeight="1" x14ac:dyDescent="0.3"/>
    <row r="2717" ht="68.400000000000006" customHeight="1" x14ac:dyDescent="0.3"/>
    <row r="2718" ht="57" customHeight="1" x14ac:dyDescent="0.3"/>
    <row r="2719" ht="57" customHeight="1" x14ac:dyDescent="0.3"/>
    <row r="2720" ht="34.200000000000003" customHeight="1" x14ac:dyDescent="0.3"/>
    <row r="2721" ht="22.8" customHeight="1" x14ac:dyDescent="0.3"/>
    <row r="2722" ht="34.200000000000003" customHeight="1" x14ac:dyDescent="0.3"/>
    <row r="2723" ht="22.8" customHeight="1" x14ac:dyDescent="0.3"/>
    <row r="2724" ht="45.6" customHeight="1" x14ac:dyDescent="0.3"/>
    <row r="2725" ht="22.8" customHeight="1" x14ac:dyDescent="0.3"/>
    <row r="2726" ht="34.200000000000003" customHeight="1" x14ac:dyDescent="0.3"/>
    <row r="2727" ht="45.6" customHeight="1" x14ac:dyDescent="0.3"/>
    <row r="2728" ht="22.8" customHeight="1" x14ac:dyDescent="0.3"/>
    <row r="2729" ht="34.200000000000003" customHeight="1" x14ac:dyDescent="0.3"/>
    <row r="2730" ht="34.200000000000003" customHeight="1" x14ac:dyDescent="0.3"/>
    <row r="2731" ht="34.200000000000003" customHeight="1" x14ac:dyDescent="0.3"/>
    <row r="2732" ht="45.6" customHeight="1" x14ac:dyDescent="0.3"/>
    <row r="2733" ht="34.200000000000003" customHeight="1" x14ac:dyDescent="0.3"/>
    <row r="2734" ht="34.200000000000003" customHeight="1" x14ac:dyDescent="0.3"/>
    <row r="2735" ht="22.8" customHeight="1" x14ac:dyDescent="0.3"/>
    <row r="2736" ht="22.8" customHeight="1" x14ac:dyDescent="0.3"/>
    <row r="2737" ht="68.400000000000006" customHeight="1" x14ac:dyDescent="0.3"/>
    <row r="2738" ht="45.6" customHeight="1" x14ac:dyDescent="0.3"/>
    <row r="2739" ht="34.200000000000003" customHeight="1" x14ac:dyDescent="0.3"/>
    <row r="2740" ht="34.200000000000003" customHeight="1" x14ac:dyDescent="0.3"/>
    <row r="2741" ht="34.200000000000003" customHeight="1" x14ac:dyDescent="0.3"/>
    <row r="2742" ht="22.8" customHeight="1" x14ac:dyDescent="0.3"/>
    <row r="2743" ht="22.8" customHeight="1" x14ac:dyDescent="0.3"/>
    <row r="2744" ht="34.200000000000003" customHeight="1" x14ac:dyDescent="0.3"/>
    <row r="2745" ht="34.200000000000003" customHeight="1" x14ac:dyDescent="0.3"/>
    <row r="2746" ht="22.8" customHeight="1" x14ac:dyDescent="0.3"/>
    <row r="2747" ht="45.6" customHeight="1" x14ac:dyDescent="0.3"/>
    <row r="2748" ht="45.6" customHeight="1" x14ac:dyDescent="0.3"/>
    <row r="2749" ht="45.6" customHeight="1" x14ac:dyDescent="0.3"/>
    <row r="2750" ht="45.6" customHeight="1" x14ac:dyDescent="0.3"/>
    <row r="2751" ht="34.200000000000003" customHeight="1" x14ac:dyDescent="0.3"/>
    <row r="2752" ht="34.200000000000003" customHeight="1" x14ac:dyDescent="0.3"/>
    <row r="2753" ht="45.6" customHeight="1" x14ac:dyDescent="0.3"/>
    <row r="2754" ht="57" customHeight="1" x14ac:dyDescent="0.3"/>
    <row r="2755" ht="34.200000000000003" customHeight="1" x14ac:dyDescent="0.3"/>
    <row r="2756" ht="22.8" customHeight="1" x14ac:dyDescent="0.3"/>
    <row r="2757" ht="45.6" customHeight="1" x14ac:dyDescent="0.3"/>
    <row r="2758" ht="22.8" customHeight="1" x14ac:dyDescent="0.3"/>
    <row r="2759" ht="34.200000000000003" customHeight="1" x14ac:dyDescent="0.3"/>
    <row r="2760" ht="22.8" customHeight="1" x14ac:dyDescent="0.3"/>
    <row r="2762" ht="34.200000000000003" customHeight="1" x14ac:dyDescent="0.3"/>
    <row r="2764" ht="34.200000000000003" customHeight="1" x14ac:dyDescent="0.3"/>
    <row r="2765" ht="34.200000000000003" customHeight="1" x14ac:dyDescent="0.3"/>
    <row r="2766" ht="22.8" customHeight="1" x14ac:dyDescent="0.3"/>
    <row r="2767" ht="34.200000000000003" customHeight="1" x14ac:dyDescent="0.3"/>
    <row r="2768" ht="68.400000000000006" customHeight="1" x14ac:dyDescent="0.3"/>
    <row r="2769" ht="22.8" customHeight="1" x14ac:dyDescent="0.3"/>
    <row r="2770" ht="45.6" customHeight="1" x14ac:dyDescent="0.3"/>
    <row r="2771" ht="34.200000000000003" customHeight="1" x14ac:dyDescent="0.3"/>
    <row r="2772" ht="34.200000000000003" customHeight="1" x14ac:dyDescent="0.3"/>
    <row r="2773" ht="34.200000000000003" customHeight="1" x14ac:dyDescent="0.3"/>
    <row r="2774" ht="34.200000000000003" customHeight="1" x14ac:dyDescent="0.3"/>
    <row r="2775" ht="22.8" customHeight="1" x14ac:dyDescent="0.3"/>
    <row r="2776" ht="22.8" customHeight="1" x14ac:dyDescent="0.3"/>
    <row r="2777" ht="22.8" customHeight="1" x14ac:dyDescent="0.3"/>
    <row r="2778" ht="57" customHeight="1" x14ac:dyDescent="0.3"/>
    <row r="2779" ht="34.200000000000003" customHeight="1" x14ac:dyDescent="0.3"/>
    <row r="2780" ht="34.200000000000003" customHeight="1" x14ac:dyDescent="0.3"/>
    <row r="2781" ht="57" customHeight="1" x14ac:dyDescent="0.3"/>
    <row r="2782" ht="22.8" customHeight="1" x14ac:dyDescent="0.3"/>
    <row r="2784" ht="34.200000000000003" customHeight="1" x14ac:dyDescent="0.3"/>
    <row r="2785" ht="34.200000000000003" customHeight="1" x14ac:dyDescent="0.3"/>
    <row r="2786" ht="34.200000000000003" customHeight="1" x14ac:dyDescent="0.3"/>
    <row r="2787" ht="34.200000000000003" customHeight="1" x14ac:dyDescent="0.3"/>
    <row r="2788" ht="45.6" customHeight="1" x14ac:dyDescent="0.3"/>
    <row r="2789" ht="34.200000000000003" customHeight="1" x14ac:dyDescent="0.3"/>
    <row r="2790" ht="34.200000000000003" customHeight="1" x14ac:dyDescent="0.3"/>
    <row r="2791" ht="45.6" customHeight="1" x14ac:dyDescent="0.3"/>
    <row r="2792" ht="34.200000000000003" customHeight="1" x14ac:dyDescent="0.3"/>
    <row r="2793" ht="22.8" customHeight="1" x14ac:dyDescent="0.3"/>
    <row r="2794" ht="22.8" customHeight="1" x14ac:dyDescent="0.3"/>
    <row r="2795" ht="22.8" customHeight="1" x14ac:dyDescent="0.3"/>
    <row r="2796" ht="45.6" customHeight="1" x14ac:dyDescent="0.3"/>
    <row r="2797" ht="22.8" customHeight="1" x14ac:dyDescent="0.3"/>
    <row r="2798" ht="22.8" customHeight="1" x14ac:dyDescent="0.3"/>
    <row r="2799" ht="34.200000000000003" customHeight="1" x14ac:dyDescent="0.3"/>
    <row r="2800" ht="34.200000000000003" customHeight="1" x14ac:dyDescent="0.3"/>
    <row r="2801" ht="22.8" customHeight="1" x14ac:dyDescent="0.3"/>
    <row r="2802" ht="22.8" customHeight="1" x14ac:dyDescent="0.3"/>
    <row r="2803" ht="45.6" customHeight="1" x14ac:dyDescent="0.3"/>
    <row r="2804" ht="22.8" customHeight="1" x14ac:dyDescent="0.3"/>
    <row r="2805" ht="22.8" customHeight="1" x14ac:dyDescent="0.3"/>
    <row r="2806" ht="22.8" customHeight="1" x14ac:dyDescent="0.3"/>
    <row r="2807" ht="34.200000000000003" customHeight="1" x14ac:dyDescent="0.3"/>
    <row r="2808" ht="34.200000000000003" customHeight="1" x14ac:dyDescent="0.3"/>
    <row r="2809" ht="22.8" customHeight="1" x14ac:dyDescent="0.3"/>
    <row r="2810" ht="22.8" customHeight="1" x14ac:dyDescent="0.3"/>
    <row r="2811" ht="34.200000000000003" customHeight="1" x14ac:dyDescent="0.3"/>
    <row r="2812" ht="22.8" customHeight="1" x14ac:dyDescent="0.3"/>
    <row r="2813" ht="34.200000000000003" customHeight="1" x14ac:dyDescent="0.3"/>
    <row r="2814" ht="34.200000000000003" customHeight="1" x14ac:dyDescent="0.3"/>
    <row r="2815" ht="34.200000000000003" customHeight="1" x14ac:dyDescent="0.3"/>
    <row r="2816" ht="34.200000000000003" customHeight="1" x14ac:dyDescent="0.3"/>
    <row r="2817" ht="34.200000000000003" customHeight="1" x14ac:dyDescent="0.3"/>
    <row r="2818" ht="34.200000000000003" customHeight="1" x14ac:dyDescent="0.3"/>
    <row r="2819" ht="34.200000000000003" customHeight="1" x14ac:dyDescent="0.3"/>
    <row r="2820" ht="22.8" customHeight="1" x14ac:dyDescent="0.3"/>
    <row r="2821" ht="45.6" customHeight="1" x14ac:dyDescent="0.3"/>
    <row r="2822" ht="34.200000000000003" customHeight="1" x14ac:dyDescent="0.3"/>
    <row r="2823" ht="45.6" customHeight="1" x14ac:dyDescent="0.3"/>
    <row r="2824" ht="34.200000000000003" customHeight="1" x14ac:dyDescent="0.3"/>
    <row r="2825" ht="45.6" customHeight="1" x14ac:dyDescent="0.3"/>
    <row r="2826" ht="34.200000000000003" customHeight="1" x14ac:dyDescent="0.3"/>
    <row r="2827" ht="22.8" customHeight="1" x14ac:dyDescent="0.3"/>
    <row r="2828" ht="34.200000000000003" customHeight="1" x14ac:dyDescent="0.3"/>
    <row r="2829" ht="57" customHeight="1" x14ac:dyDescent="0.3"/>
    <row r="2830" ht="22.8" customHeight="1" x14ac:dyDescent="0.3"/>
    <row r="2831" ht="34.200000000000003" customHeight="1" x14ac:dyDescent="0.3"/>
    <row r="2832" ht="22.8" customHeight="1" x14ac:dyDescent="0.3"/>
    <row r="2834" ht="22.8" customHeight="1" x14ac:dyDescent="0.3"/>
    <row r="2835" ht="34.200000000000003" customHeight="1" x14ac:dyDescent="0.3"/>
    <row r="2837" ht="22.8" customHeight="1" x14ac:dyDescent="0.3"/>
    <row r="2838" ht="34.200000000000003" customHeight="1" x14ac:dyDescent="0.3"/>
    <row r="2839" ht="22.8" customHeight="1" x14ac:dyDescent="0.3"/>
    <row r="2840" ht="34.200000000000003" customHeight="1" x14ac:dyDescent="0.3"/>
    <row r="2841" ht="22.8" customHeight="1" x14ac:dyDescent="0.3"/>
    <row r="2842" ht="34.200000000000003" customHeight="1" x14ac:dyDescent="0.3"/>
    <row r="2843" ht="22.8" customHeight="1" x14ac:dyDescent="0.3"/>
    <row r="2844" ht="45.6" customHeight="1" x14ac:dyDescent="0.3"/>
    <row r="2845" ht="45.6" customHeight="1" x14ac:dyDescent="0.3"/>
    <row r="2846" ht="34.200000000000003" customHeight="1" x14ac:dyDescent="0.3"/>
    <row r="2847" ht="34.200000000000003" customHeight="1" x14ac:dyDescent="0.3"/>
    <row r="2848" ht="34.200000000000003" customHeight="1" x14ac:dyDescent="0.3"/>
    <row r="2849" ht="34.200000000000003" customHeight="1" x14ac:dyDescent="0.3"/>
    <row r="2850" ht="34.200000000000003" customHeight="1" x14ac:dyDescent="0.3"/>
    <row r="2851" ht="34.200000000000003" customHeight="1" x14ac:dyDescent="0.3"/>
    <row r="2852" ht="34.200000000000003" customHeight="1" x14ac:dyDescent="0.3"/>
    <row r="2853" ht="34.200000000000003" customHeight="1" x14ac:dyDescent="0.3"/>
    <row r="2854" ht="34.200000000000003" customHeight="1" x14ac:dyDescent="0.3"/>
    <row r="2855" ht="34.200000000000003" customHeight="1" x14ac:dyDescent="0.3"/>
    <row r="2856" ht="34.200000000000003" customHeight="1" x14ac:dyDescent="0.3"/>
    <row r="2857" ht="45.6" customHeight="1" x14ac:dyDescent="0.3"/>
    <row r="2858" ht="22.8" customHeight="1" x14ac:dyDescent="0.3"/>
    <row r="2859" ht="34.200000000000003" customHeight="1" x14ac:dyDescent="0.3"/>
    <row r="2860" ht="45.6" customHeight="1" x14ac:dyDescent="0.3"/>
    <row r="2861" ht="34.200000000000003" customHeight="1" x14ac:dyDescent="0.3"/>
    <row r="2862" ht="34.200000000000003" customHeight="1" x14ac:dyDescent="0.3"/>
    <row r="2863" ht="34.200000000000003" customHeight="1" x14ac:dyDescent="0.3"/>
    <row r="2864" ht="45.6" customHeight="1" x14ac:dyDescent="0.3"/>
    <row r="2865" ht="34.200000000000003" customHeight="1" x14ac:dyDescent="0.3"/>
    <row r="2866" ht="45.6" customHeight="1" x14ac:dyDescent="0.3"/>
    <row r="2867" ht="34.200000000000003" customHeight="1" x14ac:dyDescent="0.3"/>
    <row r="2868" ht="45.6" customHeight="1" x14ac:dyDescent="0.3"/>
    <row r="2869" ht="45.6" customHeight="1" x14ac:dyDescent="0.3"/>
    <row r="2870" ht="34.200000000000003" customHeight="1" x14ac:dyDescent="0.3"/>
    <row r="2871" ht="34.200000000000003" customHeight="1" x14ac:dyDescent="0.3"/>
    <row r="2872" ht="34.200000000000003" customHeight="1" x14ac:dyDescent="0.3"/>
    <row r="2873" ht="45.6" customHeight="1" x14ac:dyDescent="0.3"/>
    <row r="2874" ht="34.200000000000003" customHeight="1" x14ac:dyDescent="0.3"/>
    <row r="2875" ht="45.6" customHeight="1" x14ac:dyDescent="0.3"/>
    <row r="2876" ht="34.200000000000003" customHeight="1" x14ac:dyDescent="0.3"/>
    <row r="2877" ht="45.6" customHeight="1" x14ac:dyDescent="0.3"/>
    <row r="2878" ht="34.200000000000003" customHeight="1" x14ac:dyDescent="0.3"/>
    <row r="2879" ht="34.200000000000003" customHeight="1" x14ac:dyDescent="0.3"/>
    <row r="2880" ht="34.200000000000003" customHeight="1" x14ac:dyDescent="0.3"/>
    <row r="2881" ht="34.200000000000003" customHeight="1" x14ac:dyDescent="0.3"/>
    <row r="2882" ht="45.6" customHeight="1" x14ac:dyDescent="0.3"/>
    <row r="2884" ht="22.8" customHeight="1" x14ac:dyDescent="0.3"/>
    <row r="2885" ht="22.8" customHeight="1" x14ac:dyDescent="0.3"/>
    <row r="2886" ht="22.8" customHeight="1" x14ac:dyDescent="0.3"/>
    <row r="2888" ht="22.8" customHeight="1" x14ac:dyDescent="0.3"/>
    <row r="2889" ht="22.8" customHeight="1" x14ac:dyDescent="0.3"/>
    <row r="2890" ht="22.8" customHeight="1" x14ac:dyDescent="0.3"/>
    <row r="2891" ht="34.200000000000003" customHeight="1" x14ac:dyDescent="0.3"/>
    <row r="2892" ht="45.6" customHeight="1" x14ac:dyDescent="0.3"/>
    <row r="2893" ht="34.200000000000003" customHeight="1" x14ac:dyDescent="0.3"/>
    <row r="2894" ht="34.200000000000003" customHeight="1" x14ac:dyDescent="0.3"/>
    <row r="2897" ht="22.8" customHeight="1" x14ac:dyDescent="0.3"/>
    <row r="2898" ht="22.8" customHeight="1" x14ac:dyDescent="0.3"/>
    <row r="2900" ht="22.8" customHeight="1" x14ac:dyDescent="0.3"/>
    <row r="2901" ht="22.8" customHeight="1" x14ac:dyDescent="0.3"/>
    <row r="2902" ht="22.8" customHeight="1" x14ac:dyDescent="0.3"/>
    <row r="2903" ht="22.8" customHeight="1" x14ac:dyDescent="0.3"/>
    <row r="2904" ht="22.8" customHeight="1" x14ac:dyDescent="0.3"/>
    <row r="2905" ht="45.6" customHeight="1" x14ac:dyDescent="0.3"/>
    <row r="2906" ht="45.6" customHeight="1" x14ac:dyDescent="0.3"/>
    <row r="2907" ht="45.6" customHeight="1" x14ac:dyDescent="0.3"/>
    <row r="2908" ht="22.8" customHeight="1" x14ac:dyDescent="0.3"/>
    <row r="2909" ht="34.200000000000003" customHeight="1" x14ac:dyDescent="0.3"/>
    <row r="2910" ht="22.8" customHeight="1" x14ac:dyDescent="0.3"/>
    <row r="2911" ht="22.8" customHeight="1" x14ac:dyDescent="0.3"/>
    <row r="2912" ht="34.200000000000003" customHeight="1" x14ac:dyDescent="0.3"/>
    <row r="2913" ht="34.200000000000003" customHeight="1" x14ac:dyDescent="0.3"/>
    <row r="2914" ht="34.200000000000003" customHeight="1" x14ac:dyDescent="0.3"/>
    <row r="2915" ht="22.8" customHeight="1" x14ac:dyDescent="0.3"/>
    <row r="2916" ht="22.8" customHeight="1" x14ac:dyDescent="0.3"/>
    <row r="2917" ht="22.8" customHeight="1" x14ac:dyDescent="0.3"/>
    <row r="2918" ht="22.8" customHeight="1" x14ac:dyDescent="0.3"/>
    <row r="2919" ht="34.200000000000003" customHeight="1" x14ac:dyDescent="0.3"/>
    <row r="2921" ht="45.6" customHeight="1" x14ac:dyDescent="0.3"/>
    <row r="2922" ht="22.8" customHeight="1" x14ac:dyDescent="0.3"/>
    <row r="2923" ht="22.8" customHeight="1" x14ac:dyDescent="0.3"/>
    <row r="2924" ht="22.8" customHeight="1" x14ac:dyDescent="0.3"/>
    <row r="2925" ht="22.8" customHeight="1" x14ac:dyDescent="0.3"/>
    <row r="2926" ht="22.8" customHeight="1" x14ac:dyDescent="0.3"/>
    <row r="2927" ht="22.8" customHeight="1" x14ac:dyDescent="0.3"/>
    <row r="2928" ht="22.8" customHeight="1" x14ac:dyDescent="0.3"/>
    <row r="2929" ht="45.6" customHeight="1" x14ac:dyDescent="0.3"/>
    <row r="2930" ht="45.6" customHeight="1" x14ac:dyDescent="0.3"/>
    <row r="2931" ht="45.6" customHeight="1" x14ac:dyDescent="0.3"/>
    <row r="2932" ht="22.8" customHeight="1" x14ac:dyDescent="0.3"/>
    <row r="2933" ht="34.200000000000003" customHeight="1" x14ac:dyDescent="0.3"/>
    <row r="2934" ht="22.8" customHeight="1" x14ac:dyDescent="0.3"/>
    <row r="2935" ht="34.200000000000003" customHeight="1" x14ac:dyDescent="0.3"/>
    <row r="2936" ht="22.8" customHeight="1" x14ac:dyDescent="0.3"/>
    <row r="2937" ht="22.8" customHeight="1" x14ac:dyDescent="0.3"/>
    <row r="2938" ht="45.6" customHeight="1" x14ac:dyDescent="0.3"/>
    <row r="2939" ht="34.200000000000003" customHeight="1" x14ac:dyDescent="0.3"/>
    <row r="2940" ht="34.200000000000003" customHeight="1" x14ac:dyDescent="0.3"/>
    <row r="2941" ht="34.200000000000003" customHeight="1" x14ac:dyDescent="0.3"/>
    <row r="2942" ht="22.8" customHeight="1" x14ac:dyDescent="0.3"/>
    <row r="2943" ht="34.200000000000003" customHeight="1" x14ac:dyDescent="0.3"/>
    <row r="2944" ht="34.200000000000003" customHeight="1" x14ac:dyDescent="0.3"/>
    <row r="2945" ht="45.6" customHeight="1" x14ac:dyDescent="0.3"/>
    <row r="2946" ht="34.200000000000003" customHeight="1" x14ac:dyDescent="0.3"/>
    <row r="2947" ht="68.400000000000006" customHeight="1" x14ac:dyDescent="0.3"/>
    <row r="2948" ht="79.8" customHeight="1" x14ac:dyDescent="0.3"/>
    <row r="2949" ht="45.6" customHeight="1" x14ac:dyDescent="0.3"/>
    <row r="2950" ht="34.200000000000003" customHeight="1" x14ac:dyDescent="0.3"/>
    <row r="2951" ht="45.6" customHeight="1" x14ac:dyDescent="0.3"/>
    <row r="2952" ht="34.200000000000003" customHeight="1" x14ac:dyDescent="0.3"/>
    <row r="2953" ht="34.200000000000003" customHeight="1" x14ac:dyDescent="0.3"/>
    <row r="2954" ht="57" customHeight="1" x14ac:dyDescent="0.3"/>
    <row r="2955" ht="22.8" customHeight="1" x14ac:dyDescent="0.3"/>
    <row r="2956" ht="45.6" customHeight="1" x14ac:dyDescent="0.3"/>
    <row r="2957" ht="45.6" customHeight="1" x14ac:dyDescent="0.3"/>
    <row r="2958" ht="34.200000000000003" customHeight="1" x14ac:dyDescent="0.3"/>
    <row r="2959" ht="34.200000000000003" customHeight="1" x14ac:dyDescent="0.3"/>
    <row r="2960" ht="45.6" customHeight="1" x14ac:dyDescent="0.3"/>
    <row r="2961" ht="57" customHeight="1" x14ac:dyDescent="0.3"/>
    <row r="2962" ht="57" customHeight="1" x14ac:dyDescent="0.3"/>
    <row r="2963" ht="57" customHeight="1" x14ac:dyDescent="0.3"/>
    <row r="2964" ht="34.200000000000003" customHeight="1" x14ac:dyDescent="0.3"/>
    <row r="2965" ht="34.200000000000003" customHeight="1" x14ac:dyDescent="0.3"/>
    <row r="2966" ht="22.8" customHeight="1" x14ac:dyDescent="0.3"/>
    <row r="2967" ht="45.6" customHeight="1" x14ac:dyDescent="0.3"/>
    <row r="2968" ht="34.200000000000003" customHeight="1" x14ac:dyDescent="0.3"/>
    <row r="2969" ht="22.8" customHeight="1" x14ac:dyDescent="0.3"/>
    <row r="2970" ht="22.8" customHeight="1" x14ac:dyDescent="0.3"/>
    <row r="2971" ht="22.8" customHeight="1" x14ac:dyDescent="0.3"/>
    <row r="2972" ht="45.6" customHeight="1" x14ac:dyDescent="0.3"/>
    <row r="2973" ht="34.200000000000003" customHeight="1" x14ac:dyDescent="0.3"/>
    <row r="2974" ht="45.6" customHeight="1" x14ac:dyDescent="0.3"/>
    <row r="2975" ht="22.8" customHeight="1" x14ac:dyDescent="0.3"/>
    <row r="2976" ht="45.6" customHeight="1" x14ac:dyDescent="0.3"/>
    <row r="2977" ht="22.8" customHeight="1" x14ac:dyDescent="0.3"/>
    <row r="2978" ht="79.8" customHeight="1" x14ac:dyDescent="0.3"/>
    <row r="2979" ht="91.2" customHeight="1" x14ac:dyDescent="0.3"/>
    <row r="2980" ht="22.8" customHeight="1" x14ac:dyDescent="0.3"/>
    <row r="2981" ht="22.8" customHeight="1" x14ac:dyDescent="0.3"/>
    <row r="2982" ht="68.400000000000006" customHeight="1" x14ac:dyDescent="0.3"/>
    <row r="2983" ht="57" customHeight="1" x14ac:dyDescent="0.3"/>
    <row r="2984" ht="45.6" customHeight="1" x14ac:dyDescent="0.3"/>
    <row r="2985" ht="34.200000000000003" customHeight="1" x14ac:dyDescent="0.3"/>
    <row r="2986" ht="22.8" customHeight="1" x14ac:dyDescent="0.3"/>
    <row r="2987" ht="22.8" customHeight="1" x14ac:dyDescent="0.3"/>
    <row r="2988" ht="22.8" customHeight="1" x14ac:dyDescent="0.3"/>
    <row r="2989" ht="22.8" customHeight="1" x14ac:dyDescent="0.3"/>
    <row r="2990" ht="22.8" customHeight="1" x14ac:dyDescent="0.3"/>
    <row r="2991" ht="45.6" customHeight="1" x14ac:dyDescent="0.3"/>
    <row r="2992" ht="22.8" customHeight="1" x14ac:dyDescent="0.3"/>
    <row r="2993" ht="22.8" customHeight="1" x14ac:dyDescent="0.3"/>
    <row r="2994" ht="22.8" customHeight="1" x14ac:dyDescent="0.3"/>
    <row r="2995" ht="22.8" customHeight="1" x14ac:dyDescent="0.3"/>
    <row r="2996" ht="34.200000000000003" customHeight="1" x14ac:dyDescent="0.3"/>
    <row r="2997" ht="22.8" customHeight="1" x14ac:dyDescent="0.3"/>
    <row r="2998" ht="57" customHeight="1" x14ac:dyDescent="0.3"/>
    <row r="2999" ht="34.200000000000003" customHeight="1" x14ac:dyDescent="0.3"/>
    <row r="3000" ht="34.200000000000003" customHeight="1" x14ac:dyDescent="0.3"/>
    <row r="3001" ht="45.6" customHeight="1" x14ac:dyDescent="0.3"/>
    <row r="3002" ht="22.8" customHeight="1" x14ac:dyDescent="0.3"/>
    <row r="3003" ht="34.200000000000003" customHeight="1" x14ac:dyDescent="0.3"/>
    <row r="3004" ht="34.200000000000003" customHeight="1" x14ac:dyDescent="0.3"/>
    <row r="3005" ht="22.8" customHeight="1" x14ac:dyDescent="0.3"/>
    <row r="3006" ht="34.200000000000003" customHeight="1" x14ac:dyDescent="0.3"/>
    <row r="3007" ht="34.200000000000003" customHeight="1" x14ac:dyDescent="0.3"/>
    <row r="3008" ht="22.8" customHeight="1" x14ac:dyDescent="0.3"/>
    <row r="3010" ht="34.200000000000003" customHeight="1" x14ac:dyDescent="0.3"/>
    <row r="3011" ht="45.6" customHeight="1" x14ac:dyDescent="0.3"/>
    <row r="3012" ht="34.200000000000003" customHeight="1" x14ac:dyDescent="0.3"/>
    <row r="3013" ht="34.200000000000003" customHeight="1" x14ac:dyDescent="0.3"/>
    <row r="3014" ht="34.200000000000003" customHeight="1" x14ac:dyDescent="0.3"/>
    <row r="3015" ht="34.200000000000003" customHeight="1" x14ac:dyDescent="0.3"/>
    <row r="3016" ht="45.6" customHeight="1" x14ac:dyDescent="0.3"/>
    <row r="3017" ht="34.200000000000003" customHeight="1" x14ac:dyDescent="0.3"/>
    <row r="3018" ht="34.200000000000003" customHeight="1" x14ac:dyDescent="0.3"/>
    <row r="3019" ht="22.8" customHeight="1" x14ac:dyDescent="0.3"/>
    <row r="3020" ht="34.200000000000003" customHeight="1" x14ac:dyDescent="0.3"/>
    <row r="3021" ht="34.200000000000003" customHeight="1" x14ac:dyDescent="0.3"/>
    <row r="3022" ht="45.6" customHeight="1" x14ac:dyDescent="0.3"/>
    <row r="3023" ht="34.200000000000003" customHeight="1" x14ac:dyDescent="0.3"/>
    <row r="3024" ht="22.8" customHeight="1" x14ac:dyDescent="0.3"/>
    <row r="3025" ht="45.6" customHeight="1" x14ac:dyDescent="0.3"/>
    <row r="3026" ht="45.6" customHeight="1" x14ac:dyDescent="0.3"/>
    <row r="3027" ht="45.6" customHeight="1" x14ac:dyDescent="0.3"/>
    <row r="3028" ht="45.6" customHeight="1" x14ac:dyDescent="0.3"/>
    <row r="3030" ht="34.200000000000003" customHeight="1" x14ac:dyDescent="0.3"/>
    <row r="3031" ht="45.6" customHeight="1" x14ac:dyDescent="0.3"/>
    <row r="3032" ht="57" customHeight="1" x14ac:dyDescent="0.3"/>
    <row r="3033" ht="45.6" customHeight="1" x14ac:dyDescent="0.3"/>
    <row r="3034" ht="91.2" customHeight="1" x14ac:dyDescent="0.3"/>
    <row r="3035" ht="22.8" customHeight="1" x14ac:dyDescent="0.3"/>
    <row r="3036" ht="22.8" customHeight="1" x14ac:dyDescent="0.3"/>
    <row r="3037" ht="34.200000000000003" customHeight="1" x14ac:dyDescent="0.3"/>
    <row r="3038" ht="45.6" customHeight="1" x14ac:dyDescent="0.3"/>
    <row r="3039" ht="22.8" customHeight="1" x14ac:dyDescent="0.3"/>
    <row r="3040" ht="34.200000000000003" customHeight="1" x14ac:dyDescent="0.3"/>
    <row r="3041" ht="34.200000000000003" customHeight="1" x14ac:dyDescent="0.3"/>
    <row r="3042" ht="22.8" customHeight="1" x14ac:dyDescent="0.3"/>
    <row r="3043" ht="22.8" customHeight="1" x14ac:dyDescent="0.3"/>
    <row r="3044" ht="22.8" customHeight="1" x14ac:dyDescent="0.3"/>
    <row r="3045" ht="22.8" customHeight="1" x14ac:dyDescent="0.3"/>
    <row r="3046" ht="22.8" customHeight="1" x14ac:dyDescent="0.3"/>
    <row r="3047" ht="34.200000000000003" customHeight="1" x14ac:dyDescent="0.3"/>
    <row r="3048" ht="22.8" customHeight="1" x14ac:dyDescent="0.3"/>
    <row r="3049" ht="22.8" customHeight="1" x14ac:dyDescent="0.3"/>
    <row r="3050" ht="22.8" customHeight="1" x14ac:dyDescent="0.3"/>
    <row r="3051" ht="45.6" customHeight="1" x14ac:dyDescent="0.3"/>
    <row r="3052" ht="22.8" customHeight="1" x14ac:dyDescent="0.3"/>
    <row r="3053" ht="45.6" customHeight="1" x14ac:dyDescent="0.3"/>
    <row r="3054" ht="34.200000000000003" customHeight="1" x14ac:dyDescent="0.3"/>
    <row r="3055" ht="34.200000000000003" customHeight="1" x14ac:dyDescent="0.3"/>
    <row r="3056" ht="68.400000000000006" customHeight="1" x14ac:dyDescent="0.3"/>
    <row r="3057" ht="57" customHeight="1" x14ac:dyDescent="0.3"/>
    <row r="3058" ht="68.400000000000006" customHeight="1" x14ac:dyDescent="0.3"/>
    <row r="3059" ht="57" customHeight="1" x14ac:dyDescent="0.3"/>
    <row r="3060" ht="68.400000000000006" customHeight="1" x14ac:dyDescent="0.3"/>
    <row r="3061" ht="34.200000000000003" customHeight="1" x14ac:dyDescent="0.3"/>
    <row r="3062" ht="22.8" customHeight="1" x14ac:dyDescent="0.3"/>
    <row r="3063" ht="45.6" customHeight="1" x14ac:dyDescent="0.3"/>
    <row r="3064" ht="34.200000000000003" customHeight="1" x14ac:dyDescent="0.3"/>
    <row r="3065" ht="22.8" customHeight="1" x14ac:dyDescent="0.3"/>
    <row r="3066" ht="34.200000000000003" customHeight="1" x14ac:dyDescent="0.3"/>
    <row r="3067" ht="45.6" customHeight="1" x14ac:dyDescent="0.3"/>
    <row r="3068" ht="22.8" customHeight="1" x14ac:dyDescent="0.3"/>
    <row r="3069" ht="34.200000000000003" customHeight="1" x14ac:dyDescent="0.3"/>
    <row r="3070" ht="22.8" customHeight="1" x14ac:dyDescent="0.3"/>
    <row r="3071" ht="45.6" customHeight="1" x14ac:dyDescent="0.3"/>
    <row r="3072" ht="34.200000000000003" customHeight="1" x14ac:dyDescent="0.3"/>
    <row r="3073" ht="22.8" customHeight="1" x14ac:dyDescent="0.3"/>
    <row r="3074" ht="45.6" customHeight="1" x14ac:dyDescent="0.3"/>
    <row r="3075" ht="34.200000000000003" customHeight="1" x14ac:dyDescent="0.3"/>
    <row r="3076" ht="45.6" customHeight="1" x14ac:dyDescent="0.3"/>
    <row r="3077" ht="45.6" customHeight="1" x14ac:dyDescent="0.3"/>
    <row r="3078" ht="34.200000000000003" customHeight="1" x14ac:dyDescent="0.3"/>
    <row r="3079" ht="22.8" customHeight="1" x14ac:dyDescent="0.3"/>
    <row r="3080" ht="22.8" customHeight="1" x14ac:dyDescent="0.3"/>
    <row r="3081" ht="34.200000000000003" customHeight="1" x14ac:dyDescent="0.3"/>
    <row r="3082" ht="34.200000000000003" customHeight="1" x14ac:dyDescent="0.3"/>
    <row r="3083" ht="22.8" customHeight="1" x14ac:dyDescent="0.3"/>
    <row r="3084" ht="22.8" customHeight="1" x14ac:dyDescent="0.3"/>
    <row r="3086" ht="22.8" customHeight="1" x14ac:dyDescent="0.3"/>
    <row r="3087" ht="57" customHeight="1" x14ac:dyDescent="0.3"/>
    <row r="3088" ht="45.6" customHeight="1" x14ac:dyDescent="0.3"/>
    <row r="3092" ht="34.200000000000003" customHeight="1" x14ac:dyDescent="0.3"/>
    <row r="3093" ht="22.8" customHeight="1" x14ac:dyDescent="0.3"/>
    <row r="3094" ht="22.8" customHeight="1" x14ac:dyDescent="0.3"/>
    <row r="3095" ht="22.8" customHeight="1" x14ac:dyDescent="0.3"/>
    <row r="3096" ht="22.8" customHeight="1" x14ac:dyDescent="0.3"/>
    <row r="3097" ht="34.200000000000003" customHeight="1" x14ac:dyDescent="0.3"/>
    <row r="3098" ht="22.8" customHeight="1" x14ac:dyDescent="0.3"/>
    <row r="3099" ht="22.8" customHeight="1" x14ac:dyDescent="0.3"/>
    <row r="3100" ht="34.200000000000003" customHeight="1" x14ac:dyDescent="0.3"/>
    <row r="3101" ht="45.6" customHeight="1" x14ac:dyDescent="0.3"/>
    <row r="3102" ht="22.8" customHeight="1" x14ac:dyDescent="0.3"/>
    <row r="3103" ht="22.8" customHeight="1" x14ac:dyDescent="0.3"/>
    <row r="3104" ht="22.8" customHeight="1" x14ac:dyDescent="0.3"/>
    <row r="3105" ht="22.8" customHeight="1" x14ac:dyDescent="0.3"/>
    <row r="3106" ht="34.200000000000003" customHeight="1" x14ac:dyDescent="0.3"/>
    <row r="3107" ht="34.200000000000003" customHeight="1" x14ac:dyDescent="0.3"/>
    <row r="3108" ht="34.200000000000003" customHeight="1" x14ac:dyDescent="0.3"/>
    <row r="3109" ht="34.200000000000003" customHeight="1" x14ac:dyDescent="0.3"/>
    <row r="3110" ht="34.200000000000003" customHeight="1" x14ac:dyDescent="0.3"/>
    <row r="3111" ht="22.8" customHeight="1" x14ac:dyDescent="0.3"/>
    <row r="3112" ht="34.200000000000003" customHeight="1" x14ac:dyDescent="0.3"/>
    <row r="3113" ht="34.200000000000003" customHeight="1" x14ac:dyDescent="0.3"/>
    <row r="3114" ht="34.200000000000003" customHeight="1" x14ac:dyDescent="0.3"/>
    <row r="3115" ht="34.200000000000003" customHeight="1" x14ac:dyDescent="0.3"/>
    <row r="3116" ht="34.200000000000003" customHeight="1" x14ac:dyDescent="0.3"/>
    <row r="3117" ht="45.6" customHeight="1" x14ac:dyDescent="0.3"/>
    <row r="3118" ht="34.200000000000003" customHeight="1" x14ac:dyDescent="0.3"/>
    <row r="3119" ht="34.200000000000003" customHeight="1" x14ac:dyDescent="0.3"/>
    <row r="3120" ht="45.6" customHeight="1" x14ac:dyDescent="0.3"/>
    <row r="3121" ht="34.200000000000003" customHeight="1" x14ac:dyDescent="0.3"/>
    <row r="3122" ht="34.200000000000003" customHeight="1" x14ac:dyDescent="0.3"/>
    <row r="3123" ht="34.200000000000003" customHeight="1" x14ac:dyDescent="0.3"/>
    <row r="3124" ht="34.200000000000003" customHeight="1" x14ac:dyDescent="0.3"/>
    <row r="3125" ht="34.200000000000003" customHeight="1" x14ac:dyDescent="0.3"/>
    <row r="3126" ht="34.200000000000003" customHeight="1" x14ac:dyDescent="0.3"/>
    <row r="3127" ht="45.6" customHeight="1" x14ac:dyDescent="0.3"/>
    <row r="3128" ht="34.200000000000003" customHeight="1" x14ac:dyDescent="0.3"/>
    <row r="3129" ht="34.200000000000003" customHeight="1" x14ac:dyDescent="0.3"/>
    <row r="3130" ht="22.8" customHeight="1" x14ac:dyDescent="0.3"/>
    <row r="3131" ht="34.200000000000003" customHeight="1" x14ac:dyDescent="0.3"/>
    <row r="3132" ht="22.8" customHeight="1" x14ac:dyDescent="0.3"/>
    <row r="3133" ht="34.200000000000003" customHeight="1" x14ac:dyDescent="0.3"/>
    <row r="3134" ht="22.8" customHeight="1" x14ac:dyDescent="0.3"/>
    <row r="3135" ht="45.6" customHeight="1" x14ac:dyDescent="0.3"/>
    <row r="3136" ht="34.200000000000003" customHeight="1" x14ac:dyDescent="0.3"/>
    <row r="3137" ht="22.8" customHeight="1" x14ac:dyDescent="0.3"/>
    <row r="3138" ht="22.8" customHeight="1" x14ac:dyDescent="0.3"/>
    <row r="3139" ht="22.8" customHeight="1" x14ac:dyDescent="0.3"/>
    <row r="3140" ht="22.8" customHeight="1" x14ac:dyDescent="0.3"/>
    <row r="3141" ht="22.8" customHeight="1" x14ac:dyDescent="0.3"/>
    <row r="3142" ht="34.200000000000003" customHeight="1" x14ac:dyDescent="0.3"/>
    <row r="3143" ht="22.8" customHeight="1" x14ac:dyDescent="0.3"/>
    <row r="3146" ht="22.8" customHeight="1" x14ac:dyDescent="0.3"/>
    <row r="3148" ht="22.8" customHeight="1" x14ac:dyDescent="0.3"/>
    <row r="3150" ht="22.8" customHeight="1" x14ac:dyDescent="0.3"/>
    <row r="3151" ht="34.200000000000003" customHeight="1" x14ac:dyDescent="0.3"/>
    <row r="3152" ht="45.6" customHeight="1" x14ac:dyDescent="0.3"/>
    <row r="3153" ht="57" customHeight="1" x14ac:dyDescent="0.3"/>
    <row r="3154" ht="34.200000000000003" customHeight="1" x14ac:dyDescent="0.3"/>
    <row r="3155" ht="45.6" customHeight="1" x14ac:dyDescent="0.3"/>
    <row r="3156" ht="57" customHeight="1" x14ac:dyDescent="0.3"/>
    <row r="3157" ht="22.8" customHeight="1" x14ac:dyDescent="0.3"/>
    <row r="3158" ht="34.200000000000003" customHeight="1" x14ac:dyDescent="0.3"/>
    <row r="3159" ht="57" customHeight="1" x14ac:dyDescent="0.3"/>
    <row r="3160" ht="34.200000000000003" customHeight="1" x14ac:dyDescent="0.3"/>
    <row r="3161" ht="22.8" customHeight="1" x14ac:dyDescent="0.3"/>
    <row r="3162" ht="45.6" customHeight="1" x14ac:dyDescent="0.3"/>
    <row r="3163" ht="45.6" customHeight="1" x14ac:dyDescent="0.3"/>
    <row r="3164" ht="57" customHeight="1" x14ac:dyDescent="0.3"/>
    <row r="3165" ht="45.6" customHeight="1" x14ac:dyDescent="0.3"/>
    <row r="3166" ht="45.6" customHeight="1" x14ac:dyDescent="0.3"/>
    <row r="3167" ht="45.6" customHeight="1" x14ac:dyDescent="0.3"/>
    <row r="3168" ht="22.8" customHeight="1" x14ac:dyDescent="0.3"/>
    <row r="3169" ht="22.8" customHeight="1" x14ac:dyDescent="0.3"/>
    <row r="3170" ht="34.200000000000003" customHeight="1" x14ac:dyDescent="0.3"/>
    <row r="3171" ht="34.200000000000003" customHeight="1" x14ac:dyDescent="0.3"/>
    <row r="3172" ht="34.200000000000003" customHeight="1" x14ac:dyDescent="0.3"/>
    <row r="3173" ht="34.200000000000003" customHeight="1" x14ac:dyDescent="0.3"/>
    <row r="3174" ht="34.200000000000003" customHeight="1" x14ac:dyDescent="0.3"/>
    <row r="3175" ht="34.200000000000003" customHeight="1" x14ac:dyDescent="0.3"/>
    <row r="3176" ht="34.200000000000003" customHeight="1" x14ac:dyDescent="0.3"/>
    <row r="3177" ht="68.400000000000006" customHeight="1" x14ac:dyDescent="0.3"/>
    <row r="3178" ht="22.8" customHeight="1" x14ac:dyDescent="0.3"/>
    <row r="3179" ht="34.200000000000003" customHeight="1" x14ac:dyDescent="0.3"/>
    <row r="3180" ht="34.200000000000003" customHeight="1" x14ac:dyDescent="0.3"/>
    <row r="3181" ht="34.200000000000003" customHeight="1" x14ac:dyDescent="0.3"/>
    <row r="3182" ht="22.8" customHeight="1" x14ac:dyDescent="0.3"/>
    <row r="3183" ht="34.200000000000003" customHeight="1" x14ac:dyDescent="0.3"/>
    <row r="3184" ht="34.200000000000003" customHeight="1" x14ac:dyDescent="0.3"/>
    <row r="3185" ht="34.200000000000003" customHeight="1" x14ac:dyDescent="0.3"/>
    <row r="3186" ht="45.6" customHeight="1" x14ac:dyDescent="0.3"/>
    <row r="3187" ht="57" customHeight="1" x14ac:dyDescent="0.3"/>
    <row r="3188" ht="34.200000000000003" customHeight="1" x14ac:dyDescent="0.3"/>
    <row r="3189" ht="34.200000000000003" customHeight="1" x14ac:dyDescent="0.3"/>
    <row r="3190" ht="45.6" customHeight="1" x14ac:dyDescent="0.3"/>
    <row r="3191" ht="22.8" customHeight="1" x14ac:dyDescent="0.3"/>
    <row r="3192" ht="34.200000000000003" customHeight="1" x14ac:dyDescent="0.3"/>
    <row r="3193" ht="22.8" customHeight="1" x14ac:dyDescent="0.3"/>
    <row r="3194" ht="34.200000000000003" customHeight="1" x14ac:dyDescent="0.3"/>
    <row r="3195" ht="34.200000000000003" customHeight="1" x14ac:dyDescent="0.3"/>
    <row r="3196" ht="34.200000000000003" customHeight="1" x14ac:dyDescent="0.3"/>
    <row r="3197" ht="22.8" customHeight="1" x14ac:dyDescent="0.3"/>
    <row r="3198" ht="45.6" customHeight="1" x14ac:dyDescent="0.3"/>
    <row r="3199" ht="57" customHeight="1" x14ac:dyDescent="0.3"/>
    <row r="3200" ht="57" customHeight="1" x14ac:dyDescent="0.3"/>
    <row r="3201" ht="68.400000000000006" customHeight="1" x14ac:dyDescent="0.3"/>
    <row r="3202" ht="34.200000000000003" customHeight="1" x14ac:dyDescent="0.3"/>
    <row r="3203" ht="22.8" customHeight="1" x14ac:dyDescent="0.3"/>
    <row r="3204" ht="34.200000000000003" customHeight="1" x14ac:dyDescent="0.3"/>
    <row r="3205" ht="22.8" customHeight="1" x14ac:dyDescent="0.3"/>
    <row r="3206" ht="45.6" customHeight="1" x14ac:dyDescent="0.3"/>
    <row r="3207" ht="57" customHeight="1" x14ac:dyDescent="0.3"/>
    <row r="3208" ht="34.200000000000003" customHeight="1" x14ac:dyDescent="0.3"/>
    <row r="3209" ht="34.200000000000003" customHeight="1" x14ac:dyDescent="0.3"/>
    <row r="3210" ht="34.200000000000003" customHeight="1" x14ac:dyDescent="0.3"/>
    <row r="3211" ht="22.8" customHeight="1" x14ac:dyDescent="0.3"/>
    <row r="3212" ht="45.6" customHeight="1" x14ac:dyDescent="0.3"/>
    <row r="3213" ht="57" customHeight="1" x14ac:dyDescent="0.3"/>
    <row r="3214" ht="34.200000000000003" customHeight="1" x14ac:dyDescent="0.3"/>
    <row r="3215" ht="34.200000000000003" customHeight="1" x14ac:dyDescent="0.3"/>
    <row r="3216" ht="22.8" customHeight="1" x14ac:dyDescent="0.3"/>
    <row r="3217" ht="45.6" customHeight="1" x14ac:dyDescent="0.3"/>
    <row r="3218" ht="34.200000000000003" customHeight="1" x14ac:dyDescent="0.3"/>
    <row r="3219" ht="22.8" customHeight="1" x14ac:dyDescent="0.3"/>
    <row r="3220" ht="22.8" customHeight="1" x14ac:dyDescent="0.3"/>
    <row r="3221" ht="22.8" customHeight="1" x14ac:dyDescent="0.3"/>
    <row r="3222" ht="34.200000000000003" customHeight="1" x14ac:dyDescent="0.3"/>
    <row r="3223" ht="22.8" customHeight="1" x14ac:dyDescent="0.3"/>
    <row r="3225" ht="34.200000000000003" customHeight="1" x14ac:dyDescent="0.3"/>
    <row r="3226" ht="34.200000000000003" customHeight="1" x14ac:dyDescent="0.3"/>
    <row r="3227" ht="45.6" customHeight="1" x14ac:dyDescent="0.3"/>
    <row r="3228" ht="68.400000000000006" customHeight="1" x14ac:dyDescent="0.3"/>
    <row r="3229" ht="22.8" customHeight="1" x14ac:dyDescent="0.3"/>
    <row r="3230" ht="34.200000000000003" customHeight="1" x14ac:dyDescent="0.3"/>
    <row r="3231" ht="57" customHeight="1" x14ac:dyDescent="0.3"/>
    <row r="3232" ht="45.6" customHeight="1" x14ac:dyDescent="0.3"/>
    <row r="3233" ht="45.6" customHeight="1" x14ac:dyDescent="0.3"/>
    <row r="3234" ht="34.200000000000003" customHeight="1" x14ac:dyDescent="0.3"/>
    <row r="3235" ht="34.200000000000003" customHeight="1" x14ac:dyDescent="0.3"/>
    <row r="3236" ht="45.6" customHeight="1" x14ac:dyDescent="0.3"/>
    <row r="3237" ht="34.200000000000003" customHeight="1" x14ac:dyDescent="0.3"/>
    <row r="3238" ht="34.200000000000003" customHeight="1" x14ac:dyDescent="0.3"/>
    <row r="3239" ht="45.6" customHeight="1" x14ac:dyDescent="0.3"/>
    <row r="3240" ht="57" customHeight="1" x14ac:dyDescent="0.3"/>
    <row r="3241" ht="22.8" customHeight="1" x14ac:dyDescent="0.3"/>
    <row r="3242" ht="57" customHeight="1" x14ac:dyDescent="0.3"/>
    <row r="3243" ht="34.200000000000003" customHeight="1" x14ac:dyDescent="0.3"/>
    <row r="3244" ht="22.8" customHeight="1" x14ac:dyDescent="0.3"/>
    <row r="3245" ht="22.8" customHeight="1" x14ac:dyDescent="0.3"/>
    <row r="3246" ht="34.200000000000003" customHeight="1" x14ac:dyDescent="0.3"/>
    <row r="3247" ht="34.200000000000003" customHeight="1" x14ac:dyDescent="0.3"/>
    <row r="3248" ht="22.8" customHeight="1" x14ac:dyDescent="0.3"/>
    <row r="3249" ht="22.8" customHeight="1" x14ac:dyDescent="0.3"/>
    <row r="3250" ht="34.200000000000003" customHeight="1" x14ac:dyDescent="0.3"/>
    <row r="3251" ht="22.8" customHeight="1" x14ac:dyDescent="0.3"/>
    <row r="3252" ht="22.8" customHeight="1" x14ac:dyDescent="0.3"/>
    <row r="3253" ht="34.200000000000003" customHeight="1" x14ac:dyDescent="0.3"/>
    <row r="3254" ht="34.200000000000003" customHeight="1" x14ac:dyDescent="0.3"/>
    <row r="3255" ht="45.6" customHeight="1" x14ac:dyDescent="0.3"/>
    <row r="3256" ht="45.6" customHeight="1" x14ac:dyDescent="0.3"/>
    <row r="3257" ht="45.6" customHeight="1" x14ac:dyDescent="0.3"/>
    <row r="3258" ht="45.6" customHeight="1" x14ac:dyDescent="0.3"/>
    <row r="3259" ht="34.200000000000003" customHeight="1" x14ac:dyDescent="0.3"/>
    <row r="3260" ht="45.6" customHeight="1" x14ac:dyDescent="0.3"/>
    <row r="3261" ht="22.8" customHeight="1" x14ac:dyDescent="0.3"/>
    <row r="3262" ht="34.200000000000003" customHeight="1" x14ac:dyDescent="0.3"/>
    <row r="3263" ht="22.8" customHeight="1" x14ac:dyDescent="0.3"/>
    <row r="3264" ht="34.200000000000003" customHeight="1" x14ac:dyDescent="0.3"/>
    <row r="3265" ht="34.200000000000003" customHeight="1" x14ac:dyDescent="0.3"/>
    <row r="3266" ht="45.6" customHeight="1" x14ac:dyDescent="0.3"/>
    <row r="3267" ht="34.200000000000003" customHeight="1" x14ac:dyDescent="0.3"/>
    <row r="3268" ht="22.8" customHeight="1" x14ac:dyDescent="0.3"/>
    <row r="3269" ht="45.6" customHeight="1" x14ac:dyDescent="0.3"/>
    <row r="3270" ht="34.200000000000003" customHeight="1" x14ac:dyDescent="0.3"/>
    <row r="3271" ht="45.6" customHeight="1" x14ac:dyDescent="0.3"/>
    <row r="3272" ht="45.6" customHeight="1" x14ac:dyDescent="0.3"/>
    <row r="3273" ht="68.400000000000006" customHeight="1" x14ac:dyDescent="0.3"/>
    <row r="3274" ht="91.2" customHeight="1" x14ac:dyDescent="0.3"/>
    <row r="3275" ht="68.400000000000006" customHeight="1" x14ac:dyDescent="0.3"/>
    <row r="3276" ht="91.2" customHeight="1" x14ac:dyDescent="0.3"/>
    <row r="3277" ht="34.200000000000003" customHeight="1" x14ac:dyDescent="0.3"/>
    <row r="3278" ht="34.200000000000003" customHeight="1" x14ac:dyDescent="0.3"/>
    <row r="3279" ht="57" customHeight="1" x14ac:dyDescent="0.3"/>
    <row r="3280" ht="45.6" customHeight="1" x14ac:dyDescent="0.3"/>
    <row r="3281" ht="34.200000000000003" customHeight="1" x14ac:dyDescent="0.3"/>
    <row r="3282" ht="57" customHeight="1" x14ac:dyDescent="0.3"/>
    <row r="3283" ht="45.6" customHeight="1" x14ac:dyDescent="0.3"/>
    <row r="3284" ht="22.8" customHeight="1" x14ac:dyDescent="0.3"/>
    <row r="3285" ht="34.200000000000003" customHeight="1" x14ac:dyDescent="0.3"/>
    <row r="3286" ht="22.8" customHeight="1" x14ac:dyDescent="0.3"/>
    <row r="3287" ht="22.8" customHeight="1" x14ac:dyDescent="0.3"/>
    <row r="3288" ht="57" customHeight="1" x14ac:dyDescent="0.3"/>
    <row r="3289" ht="45.6" customHeight="1" x14ac:dyDescent="0.3"/>
    <row r="3290" ht="45.6" customHeight="1" x14ac:dyDescent="0.3"/>
    <row r="3291" ht="57" customHeight="1" x14ac:dyDescent="0.3"/>
    <row r="3292" ht="34.200000000000003" customHeight="1" x14ac:dyDescent="0.3"/>
    <row r="3293" ht="34.200000000000003" customHeight="1" x14ac:dyDescent="0.3"/>
    <row r="3294" ht="22.8" customHeight="1" x14ac:dyDescent="0.3"/>
    <row r="3295" ht="34.200000000000003" customHeight="1" x14ac:dyDescent="0.3"/>
    <row r="3296" ht="22.8" customHeight="1" x14ac:dyDescent="0.3"/>
    <row r="3297" ht="34.200000000000003" customHeight="1" x14ac:dyDescent="0.3"/>
    <row r="3298" ht="22.8" customHeight="1" x14ac:dyDescent="0.3"/>
    <row r="3299" ht="34.200000000000003" customHeight="1" x14ac:dyDescent="0.3"/>
    <row r="3300" ht="57" customHeight="1" x14ac:dyDescent="0.3"/>
    <row r="3301" ht="34.200000000000003" customHeight="1" x14ac:dyDescent="0.3"/>
    <row r="3302" ht="22.8" customHeight="1" x14ac:dyDescent="0.3"/>
    <row r="3303" ht="34.200000000000003" customHeight="1" x14ac:dyDescent="0.3"/>
    <row r="3304" ht="22.8" customHeight="1" x14ac:dyDescent="0.3"/>
    <row r="3305" ht="22.8" customHeight="1" x14ac:dyDescent="0.3"/>
    <row r="3306" ht="57" customHeight="1" x14ac:dyDescent="0.3"/>
    <row r="3307" ht="34.200000000000003" customHeight="1" x14ac:dyDescent="0.3"/>
    <row r="3308" ht="45.6" customHeight="1" x14ac:dyDescent="0.3"/>
    <row r="3309" ht="57" customHeight="1" x14ac:dyDescent="0.3"/>
    <row r="3310" ht="45.6" customHeight="1" x14ac:dyDescent="0.3"/>
    <row r="3311" ht="22.8" customHeight="1" x14ac:dyDescent="0.3"/>
    <row r="3312" ht="34.200000000000003" customHeight="1" x14ac:dyDescent="0.3"/>
    <row r="3313" ht="34.200000000000003" customHeight="1" x14ac:dyDescent="0.3"/>
    <row r="3314" ht="22.8" customHeight="1" x14ac:dyDescent="0.3"/>
    <row r="3316" ht="45.6" customHeight="1" x14ac:dyDescent="0.3"/>
    <row r="3317" ht="34.200000000000003" customHeight="1" x14ac:dyDescent="0.3"/>
    <row r="3318" ht="22.8" customHeight="1" x14ac:dyDescent="0.3"/>
    <row r="3319" ht="22.8" customHeight="1" x14ac:dyDescent="0.3"/>
    <row r="3320" ht="34.200000000000003" customHeight="1" x14ac:dyDescent="0.3"/>
    <row r="3321" ht="22.8" customHeight="1" x14ac:dyDescent="0.3"/>
    <row r="3322" ht="34.200000000000003" customHeight="1" x14ac:dyDescent="0.3"/>
    <row r="3323" ht="57" customHeight="1" x14ac:dyDescent="0.3"/>
    <row r="3324" ht="22.8" customHeight="1" x14ac:dyDescent="0.3"/>
    <row r="3325" ht="34.200000000000003" customHeight="1" x14ac:dyDescent="0.3"/>
    <row r="3326" ht="34.200000000000003" customHeight="1" x14ac:dyDescent="0.3"/>
    <row r="3327" ht="22.8" customHeight="1" x14ac:dyDescent="0.3"/>
    <row r="3328" ht="22.8" customHeight="1" x14ac:dyDescent="0.3"/>
    <row r="3329" ht="22.8" customHeight="1" x14ac:dyDescent="0.3"/>
    <row r="3330" ht="22.8" customHeight="1" x14ac:dyDescent="0.3"/>
    <row r="3331" ht="34.200000000000003" customHeight="1" x14ac:dyDescent="0.3"/>
    <row r="3332" ht="45.6" customHeight="1" x14ac:dyDescent="0.3"/>
    <row r="3333" ht="34.200000000000003" customHeight="1" x14ac:dyDescent="0.3"/>
    <row r="3334" ht="22.8" customHeight="1" x14ac:dyDescent="0.3"/>
    <row r="3335" ht="22.8" customHeight="1" x14ac:dyDescent="0.3"/>
    <row r="3336" ht="22.8" customHeight="1" x14ac:dyDescent="0.3"/>
    <row r="3337" ht="34.200000000000003" customHeight="1" x14ac:dyDescent="0.3"/>
    <row r="3338" ht="22.8" customHeight="1" x14ac:dyDescent="0.3"/>
    <row r="3339" ht="34.200000000000003" customHeight="1" x14ac:dyDescent="0.3"/>
    <row r="3340" ht="22.8" customHeight="1" x14ac:dyDescent="0.3"/>
    <row r="3341" ht="34.200000000000003" customHeight="1" x14ac:dyDescent="0.3"/>
    <row r="3342" ht="22.8" customHeight="1" x14ac:dyDescent="0.3"/>
    <row r="3343" ht="34.200000000000003" customHeight="1" x14ac:dyDescent="0.3"/>
    <row r="3344" ht="22.8" customHeight="1" x14ac:dyDescent="0.3"/>
    <row r="3345" ht="22.8" customHeight="1" x14ac:dyDescent="0.3"/>
    <row r="3346" ht="22.8" customHeight="1" x14ac:dyDescent="0.3"/>
    <row r="3347" ht="22.8" customHeight="1" x14ac:dyDescent="0.3"/>
    <row r="3349" ht="22.8" customHeight="1" x14ac:dyDescent="0.3"/>
    <row r="3350" ht="22.8" customHeight="1" x14ac:dyDescent="0.3"/>
    <row r="3351" ht="22.8" customHeight="1" x14ac:dyDescent="0.3"/>
    <row r="3352" ht="22.8" customHeight="1" x14ac:dyDescent="0.3"/>
    <row r="3353" ht="34.200000000000003" customHeight="1" x14ac:dyDescent="0.3"/>
    <row r="3354" ht="22.8" customHeight="1" x14ac:dyDescent="0.3"/>
    <row r="3355" ht="22.8" customHeight="1" x14ac:dyDescent="0.3"/>
    <row r="3356" ht="34.200000000000003" customHeight="1" x14ac:dyDescent="0.3"/>
    <row r="3357" ht="57" customHeight="1" x14ac:dyDescent="0.3"/>
    <row r="3358" ht="57" customHeight="1" x14ac:dyDescent="0.3"/>
    <row r="3359" ht="57" customHeight="1" x14ac:dyDescent="0.3"/>
    <row r="3360" ht="34.200000000000003" customHeight="1" x14ac:dyDescent="0.3"/>
    <row r="3361" ht="45.6" customHeight="1" x14ac:dyDescent="0.3"/>
    <row r="3362" ht="22.8" customHeight="1" x14ac:dyDescent="0.3"/>
    <row r="3363" ht="22.8" customHeight="1" x14ac:dyDescent="0.3"/>
    <row r="3364" ht="34.200000000000003" customHeight="1" x14ac:dyDescent="0.3"/>
    <row r="3365" ht="34.200000000000003" customHeight="1" x14ac:dyDescent="0.3"/>
    <row r="3366" ht="22.8" customHeight="1" x14ac:dyDescent="0.3"/>
    <row r="3367" ht="34.200000000000003" customHeight="1" x14ac:dyDescent="0.3"/>
    <row r="3368" ht="57" customHeight="1" x14ac:dyDescent="0.3"/>
    <row r="3369" ht="34.200000000000003" customHeight="1" x14ac:dyDescent="0.3"/>
    <row r="3370" ht="45.6" customHeight="1" x14ac:dyDescent="0.3"/>
    <row r="3371" ht="45.6" customHeight="1" x14ac:dyDescent="0.3"/>
    <row r="3372" ht="57" customHeight="1" x14ac:dyDescent="0.3"/>
    <row r="3373" ht="34.200000000000003" customHeight="1" x14ac:dyDescent="0.3"/>
    <row r="3374" ht="45.6" customHeight="1" x14ac:dyDescent="0.3"/>
    <row r="3375" ht="57" customHeight="1" x14ac:dyDescent="0.3"/>
    <row r="3376" ht="22.8" customHeight="1" x14ac:dyDescent="0.3"/>
    <row r="3377" ht="34.200000000000003" customHeight="1" x14ac:dyDescent="0.3"/>
    <row r="3378" ht="34.200000000000003" customHeight="1" x14ac:dyDescent="0.3"/>
    <row r="3379" ht="34.200000000000003" customHeight="1" x14ac:dyDescent="0.3"/>
    <row r="3380" ht="34.200000000000003" customHeight="1" x14ac:dyDescent="0.3"/>
    <row r="3381" ht="34.200000000000003" customHeight="1" x14ac:dyDescent="0.3"/>
    <row r="3382" ht="34.200000000000003" customHeight="1" x14ac:dyDescent="0.3"/>
    <row r="3383" ht="57" customHeight="1" x14ac:dyDescent="0.3"/>
    <row r="3384" ht="22.8" customHeight="1" x14ac:dyDescent="0.3"/>
    <row r="3385" ht="22.8" customHeight="1" x14ac:dyDescent="0.3"/>
    <row r="3386" ht="45.6" customHeight="1" x14ac:dyDescent="0.3"/>
    <row r="3387" ht="22.8" customHeight="1" x14ac:dyDescent="0.3"/>
    <row r="3388" ht="22.8" customHeight="1" x14ac:dyDescent="0.3"/>
    <row r="3389" ht="34.200000000000003" customHeight="1" x14ac:dyDescent="0.3"/>
    <row r="3390" ht="34.200000000000003" customHeight="1" x14ac:dyDescent="0.3"/>
    <row r="3391" ht="34.200000000000003" customHeight="1" x14ac:dyDescent="0.3"/>
    <row r="3392" ht="34.200000000000003" customHeight="1" x14ac:dyDescent="0.3"/>
    <row r="3393" ht="34.200000000000003" customHeight="1" x14ac:dyDescent="0.3"/>
    <row r="3394" ht="22.8" customHeight="1" x14ac:dyDescent="0.3"/>
    <row r="3395" ht="45.6" customHeight="1" x14ac:dyDescent="0.3"/>
    <row r="3396" ht="22.8" customHeight="1" x14ac:dyDescent="0.3"/>
    <row r="3397" ht="22.8" customHeight="1" x14ac:dyDescent="0.3"/>
    <row r="3398" ht="34.200000000000003" customHeight="1" x14ac:dyDescent="0.3"/>
    <row r="3399" ht="22.8" customHeight="1" x14ac:dyDescent="0.3"/>
    <row r="3400" ht="34.200000000000003" customHeight="1" x14ac:dyDescent="0.3"/>
    <row r="3401" ht="22.8" customHeight="1" x14ac:dyDescent="0.3"/>
    <row r="3402" ht="22.8" customHeight="1" x14ac:dyDescent="0.3"/>
    <row r="3403" ht="22.8" customHeight="1" x14ac:dyDescent="0.3"/>
    <row r="3405" ht="34.200000000000003" customHeight="1" x14ac:dyDescent="0.3"/>
    <row r="3406" ht="34.200000000000003" customHeight="1" x14ac:dyDescent="0.3"/>
    <row r="3407" ht="45.6" customHeight="1" x14ac:dyDescent="0.3"/>
    <row r="3408" ht="22.8" customHeight="1" x14ac:dyDescent="0.3"/>
    <row r="3409" ht="45.6" customHeight="1" x14ac:dyDescent="0.3"/>
    <row r="3410" ht="22.8" customHeight="1" x14ac:dyDescent="0.3"/>
    <row r="3411" ht="22.8" customHeight="1" x14ac:dyDescent="0.3"/>
    <row r="3412" ht="45.6" customHeight="1" x14ac:dyDescent="0.3"/>
    <row r="3413" ht="34.200000000000003" customHeight="1" x14ac:dyDescent="0.3"/>
    <row r="3414" ht="34.200000000000003" customHeight="1" x14ac:dyDescent="0.3"/>
    <row r="3415" ht="22.8" customHeight="1" x14ac:dyDescent="0.3"/>
    <row r="3416" ht="22.8" customHeight="1" x14ac:dyDescent="0.3"/>
    <row r="3417" ht="22.8" customHeight="1" x14ac:dyDescent="0.3"/>
    <row r="3418" ht="22.8" customHeight="1" x14ac:dyDescent="0.3"/>
    <row r="3419" ht="34.200000000000003" customHeight="1" x14ac:dyDescent="0.3"/>
    <row r="3420" ht="45.6" customHeight="1" x14ac:dyDescent="0.3"/>
    <row r="3421" ht="45.6" customHeight="1" x14ac:dyDescent="0.3"/>
    <row r="3422" ht="22.8" customHeight="1" x14ac:dyDescent="0.3"/>
    <row r="3423" ht="34.200000000000003" customHeight="1" x14ac:dyDescent="0.3"/>
    <row r="3424" ht="22.8" customHeight="1" x14ac:dyDescent="0.3"/>
    <row r="3425" ht="34.200000000000003" customHeight="1" x14ac:dyDescent="0.3"/>
    <row r="3426" ht="34.200000000000003" customHeight="1" x14ac:dyDescent="0.3"/>
    <row r="3427" ht="22.8" customHeight="1" x14ac:dyDescent="0.3"/>
    <row r="3428" ht="34.200000000000003" customHeight="1" x14ac:dyDescent="0.3"/>
    <row r="3429" ht="45.6" customHeight="1" x14ac:dyDescent="0.3"/>
    <row r="3430" ht="34.200000000000003" customHeight="1" x14ac:dyDescent="0.3"/>
    <row r="3431" ht="22.8" customHeight="1" x14ac:dyDescent="0.3"/>
    <row r="3432" ht="22.8" customHeight="1" x14ac:dyDescent="0.3"/>
    <row r="3433" ht="34.200000000000003" customHeight="1" x14ac:dyDescent="0.3"/>
    <row r="3434" ht="22.8" customHeight="1" x14ac:dyDescent="0.3"/>
    <row r="3436" ht="22.8" customHeight="1" x14ac:dyDescent="0.3"/>
    <row r="3437" ht="34.200000000000003" customHeight="1" x14ac:dyDescent="0.3"/>
    <row r="3438" ht="22.8" customHeight="1" x14ac:dyDescent="0.3"/>
    <row r="3439" ht="34.200000000000003" customHeight="1" x14ac:dyDescent="0.3"/>
    <row r="3440" ht="45.6" customHeight="1" x14ac:dyDescent="0.3"/>
    <row r="3441" ht="22.8" customHeight="1" x14ac:dyDescent="0.3"/>
    <row r="3442" ht="22.8" customHeight="1" x14ac:dyDescent="0.3"/>
    <row r="3443" ht="22.8" customHeight="1" x14ac:dyDescent="0.3"/>
    <row r="3444" ht="22.8" customHeight="1" x14ac:dyDescent="0.3"/>
    <row r="3445" ht="22.8" customHeight="1" x14ac:dyDescent="0.3"/>
    <row r="3446" ht="34.200000000000003" customHeight="1" x14ac:dyDescent="0.3"/>
    <row r="3447" ht="34.200000000000003" customHeight="1" x14ac:dyDescent="0.3"/>
    <row r="3448" ht="22.8" customHeight="1" x14ac:dyDescent="0.3"/>
    <row r="3449" ht="22.8" customHeight="1" x14ac:dyDescent="0.3"/>
    <row r="3450" ht="34.200000000000003" customHeight="1" x14ac:dyDescent="0.3"/>
    <row r="3451" ht="22.8" customHeight="1" x14ac:dyDescent="0.3"/>
    <row r="3452" ht="34.200000000000003" customHeight="1" x14ac:dyDescent="0.3"/>
    <row r="3453" ht="34.200000000000003" customHeight="1" x14ac:dyDescent="0.3"/>
    <row r="3454" ht="22.8" customHeight="1" x14ac:dyDescent="0.3"/>
    <row r="3455" ht="34.200000000000003" customHeight="1" x14ac:dyDescent="0.3"/>
    <row r="3456" ht="22.8" customHeight="1" x14ac:dyDescent="0.3"/>
    <row r="3457" ht="34.200000000000003" customHeight="1" x14ac:dyDescent="0.3"/>
    <row r="3458" ht="22.8" customHeight="1" x14ac:dyDescent="0.3"/>
    <row r="3459" ht="22.8" customHeight="1" x14ac:dyDescent="0.3"/>
    <row r="3460" ht="22.8" customHeight="1" x14ac:dyDescent="0.3"/>
    <row r="3461" ht="34.200000000000003" customHeight="1" x14ac:dyDescent="0.3"/>
    <row r="3462" ht="57" customHeight="1" x14ac:dyDescent="0.3"/>
    <row r="3463" ht="34.200000000000003" customHeight="1" x14ac:dyDescent="0.3"/>
    <row r="3464" ht="34.200000000000003" customHeight="1" x14ac:dyDescent="0.3"/>
    <row r="3465" ht="22.8" customHeight="1" x14ac:dyDescent="0.3"/>
    <row r="3466" ht="34.200000000000003" customHeight="1" x14ac:dyDescent="0.3"/>
    <row r="3467" ht="34.200000000000003" customHeight="1" x14ac:dyDescent="0.3"/>
    <row r="3468" ht="34.200000000000003" customHeight="1" x14ac:dyDescent="0.3"/>
    <row r="3469" ht="34.200000000000003" customHeight="1" x14ac:dyDescent="0.3"/>
    <row r="3470" ht="22.8" customHeight="1" x14ac:dyDescent="0.3"/>
    <row r="3471" ht="22.8" customHeight="1" x14ac:dyDescent="0.3"/>
    <row r="3472" ht="45.6" customHeight="1" x14ac:dyDescent="0.3"/>
    <row r="3473" ht="22.8" customHeight="1" x14ac:dyDescent="0.3"/>
    <row r="3474" ht="34.200000000000003" customHeight="1" x14ac:dyDescent="0.3"/>
    <row r="3475" ht="22.8" customHeight="1" x14ac:dyDescent="0.3"/>
    <row r="3476" ht="22.8" customHeight="1" x14ac:dyDescent="0.3"/>
    <row r="3477" ht="22.8" customHeight="1" x14ac:dyDescent="0.3"/>
    <row r="3479" ht="34.200000000000003" customHeight="1" x14ac:dyDescent="0.3"/>
    <row r="3480" ht="34.200000000000003" customHeight="1" x14ac:dyDescent="0.3"/>
    <row r="3481" ht="34.200000000000003" customHeight="1" x14ac:dyDescent="0.3"/>
    <row r="3482" ht="34.200000000000003" customHeight="1" x14ac:dyDescent="0.3"/>
    <row r="3483" ht="22.8" customHeight="1" x14ac:dyDescent="0.3"/>
    <row r="3484" ht="45.6" customHeight="1" x14ac:dyDescent="0.3"/>
    <row r="3485" ht="22.8" customHeight="1" x14ac:dyDescent="0.3"/>
    <row r="3486" ht="34.200000000000003" customHeight="1" x14ac:dyDescent="0.3"/>
    <row r="3487" ht="68.400000000000006" customHeight="1" x14ac:dyDescent="0.3"/>
    <row r="3488" ht="22.8" customHeight="1" x14ac:dyDescent="0.3"/>
    <row r="3489" ht="57" customHeight="1" x14ac:dyDescent="0.3"/>
    <row r="3490" ht="34.200000000000003" customHeight="1" x14ac:dyDescent="0.3"/>
    <row r="3491" ht="34.200000000000003" customHeight="1" x14ac:dyDescent="0.3"/>
    <row r="3492" ht="34.200000000000003" customHeight="1" x14ac:dyDescent="0.3"/>
    <row r="3493" ht="34.200000000000003" customHeight="1" x14ac:dyDescent="0.3"/>
    <row r="3494" ht="34.200000000000003" customHeight="1" x14ac:dyDescent="0.3"/>
    <row r="3496" ht="22.8" customHeight="1" x14ac:dyDescent="0.3"/>
    <row r="3497" ht="45.6" customHeight="1" x14ac:dyDescent="0.3"/>
    <row r="3498" ht="22.8" customHeight="1" x14ac:dyDescent="0.3"/>
    <row r="3499" ht="22.8" customHeight="1" x14ac:dyDescent="0.3"/>
    <row r="3500" ht="22.8" customHeight="1" x14ac:dyDescent="0.3"/>
    <row r="3501" ht="22.8" customHeight="1" x14ac:dyDescent="0.3"/>
    <row r="3502" ht="34.200000000000003" customHeight="1" x14ac:dyDescent="0.3"/>
    <row r="3503" ht="22.8" customHeight="1" x14ac:dyDescent="0.3"/>
    <row r="3505" ht="22.8" customHeight="1" x14ac:dyDescent="0.3"/>
    <row r="3506" ht="22.8" customHeight="1" x14ac:dyDescent="0.3"/>
    <row r="3507" ht="34.200000000000003" customHeight="1" x14ac:dyDescent="0.3"/>
    <row r="3508" ht="45.6" customHeight="1" x14ac:dyDescent="0.3"/>
    <row r="3509" ht="22.8" customHeight="1" x14ac:dyDescent="0.3"/>
    <row r="3510" ht="22.8" customHeight="1" x14ac:dyDescent="0.3"/>
    <row r="3511" ht="34.200000000000003" customHeight="1" x14ac:dyDescent="0.3"/>
    <row r="3512" ht="22.8" customHeight="1" x14ac:dyDescent="0.3"/>
    <row r="3513" ht="34.200000000000003" customHeight="1" x14ac:dyDescent="0.3"/>
    <row r="3514" ht="22.8" customHeight="1" x14ac:dyDescent="0.3"/>
    <row r="3515" ht="22.8" customHeight="1" x14ac:dyDescent="0.3"/>
    <row r="3516" ht="34.200000000000003" customHeight="1" x14ac:dyDescent="0.3"/>
    <row r="3517" ht="22.8" customHeight="1" x14ac:dyDescent="0.3"/>
    <row r="3518" ht="22.8" customHeight="1" x14ac:dyDescent="0.3"/>
    <row r="3519" ht="34.200000000000003" customHeight="1" x14ac:dyDescent="0.3"/>
    <row r="3520" ht="22.8" customHeight="1" x14ac:dyDescent="0.3"/>
    <row r="3521" ht="34.200000000000003" customHeight="1" x14ac:dyDescent="0.3"/>
    <row r="3522" ht="45.6" customHeight="1" x14ac:dyDescent="0.3"/>
    <row r="3523" ht="57" customHeight="1" x14ac:dyDescent="0.3"/>
    <row r="3524" ht="34.200000000000003" customHeight="1" x14ac:dyDescent="0.3"/>
    <row r="3525" ht="34.200000000000003" customHeight="1" x14ac:dyDescent="0.3"/>
    <row r="3526" ht="45.6" customHeight="1" x14ac:dyDescent="0.3"/>
    <row r="3527" ht="45.6" customHeight="1" x14ac:dyDescent="0.3"/>
    <row r="3528" ht="22.8" customHeight="1" x14ac:dyDescent="0.3"/>
    <row r="3529" ht="34.200000000000003" customHeight="1" x14ac:dyDescent="0.3"/>
    <row r="3530" ht="22.8" customHeight="1" x14ac:dyDescent="0.3"/>
    <row r="3531" ht="34.200000000000003" customHeight="1" x14ac:dyDescent="0.3"/>
    <row r="3532" ht="34.200000000000003" customHeight="1" x14ac:dyDescent="0.3"/>
    <row r="3533" ht="22.8" customHeight="1" x14ac:dyDescent="0.3"/>
    <row r="3534" ht="22.8" customHeight="1" x14ac:dyDescent="0.3"/>
    <row r="3535" ht="22.8" customHeight="1" x14ac:dyDescent="0.3"/>
    <row r="3536" ht="34.200000000000003" customHeight="1" x14ac:dyDescent="0.3"/>
    <row r="3537" ht="34.200000000000003" customHeight="1" x14ac:dyDescent="0.3"/>
    <row r="3538" ht="22.8" customHeight="1" x14ac:dyDescent="0.3"/>
    <row r="3539" ht="34.200000000000003" customHeight="1" x14ac:dyDescent="0.3"/>
    <row r="3540" ht="45.6" customHeight="1" x14ac:dyDescent="0.3"/>
    <row r="3541" ht="22.8" customHeight="1" x14ac:dyDescent="0.3"/>
    <row r="3542" ht="34.200000000000003" customHeight="1" x14ac:dyDescent="0.3"/>
    <row r="3543" ht="34.200000000000003" customHeight="1" x14ac:dyDescent="0.3"/>
    <row r="3544" ht="34.200000000000003" customHeight="1" x14ac:dyDescent="0.3"/>
    <row r="3545" ht="22.8" customHeight="1" x14ac:dyDescent="0.3"/>
    <row r="3546" ht="22.8" customHeight="1" x14ac:dyDescent="0.3"/>
    <row r="3547" ht="34.200000000000003" customHeight="1" x14ac:dyDescent="0.3"/>
    <row r="3548" ht="34.200000000000003" customHeight="1" x14ac:dyDescent="0.3"/>
    <row r="3549" ht="34.200000000000003" customHeight="1" x14ac:dyDescent="0.3"/>
    <row r="3550" ht="34.200000000000003" customHeight="1" x14ac:dyDescent="0.3"/>
    <row r="3551" ht="34.200000000000003" customHeight="1" x14ac:dyDescent="0.3"/>
    <row r="3552" ht="34.200000000000003" customHeight="1" x14ac:dyDescent="0.3"/>
    <row r="3553" ht="34.200000000000003" customHeight="1" x14ac:dyDescent="0.3"/>
    <row r="3554" ht="22.8" customHeight="1" x14ac:dyDescent="0.3"/>
    <row r="3555" ht="22.8" customHeight="1" x14ac:dyDescent="0.3"/>
    <row r="3556" ht="45.6" customHeight="1" x14ac:dyDescent="0.3"/>
    <row r="3557" ht="34.200000000000003" customHeight="1" x14ac:dyDescent="0.3"/>
    <row r="3558" ht="34.200000000000003" customHeight="1" x14ac:dyDescent="0.3"/>
    <row r="3559" ht="34.200000000000003" customHeight="1" x14ac:dyDescent="0.3"/>
    <row r="3560" ht="22.8" customHeight="1" x14ac:dyDescent="0.3"/>
    <row r="3561" ht="34.200000000000003" customHeight="1" x14ac:dyDescent="0.3"/>
    <row r="3562" ht="22.8" customHeight="1" x14ac:dyDescent="0.3"/>
    <row r="3563" ht="34.200000000000003" customHeight="1" x14ac:dyDescent="0.3"/>
    <row r="3564" ht="22.8" customHeight="1" x14ac:dyDescent="0.3"/>
    <row r="3565" ht="34.200000000000003" customHeight="1" x14ac:dyDescent="0.3"/>
    <row r="3566" ht="34.200000000000003" customHeight="1" x14ac:dyDescent="0.3"/>
    <row r="3567" ht="34.200000000000003" customHeight="1" x14ac:dyDescent="0.3"/>
    <row r="3568" ht="22.8" customHeight="1" x14ac:dyDescent="0.3"/>
    <row r="3569" ht="45.6" customHeight="1" x14ac:dyDescent="0.3"/>
    <row r="3570" ht="34.200000000000003" customHeight="1" x14ac:dyDescent="0.3"/>
    <row r="3571" ht="45.6" customHeight="1" x14ac:dyDescent="0.3"/>
    <row r="3572" ht="22.8" customHeight="1" x14ac:dyDescent="0.3"/>
    <row r="3573" ht="22.8" customHeight="1" x14ac:dyDescent="0.3"/>
    <row r="3574" ht="22.8" customHeight="1" x14ac:dyDescent="0.3"/>
    <row r="3575" ht="34.200000000000003" customHeight="1" x14ac:dyDescent="0.3"/>
    <row r="3576" ht="22.8" customHeight="1" x14ac:dyDescent="0.3"/>
    <row r="3577" ht="34.200000000000003" customHeight="1" x14ac:dyDescent="0.3"/>
    <row r="3578" ht="22.8" customHeight="1" x14ac:dyDescent="0.3"/>
    <row r="3579" ht="22.8" customHeight="1" x14ac:dyDescent="0.3"/>
    <row r="3580" ht="34.200000000000003" customHeight="1" x14ac:dyDescent="0.3"/>
    <row r="3581" ht="34.200000000000003" customHeight="1" x14ac:dyDescent="0.3"/>
    <row r="3582" ht="34.200000000000003" customHeight="1" x14ac:dyDescent="0.3"/>
    <row r="3583" ht="45.6" customHeight="1" x14ac:dyDescent="0.3"/>
    <row r="3584" ht="57" customHeight="1" x14ac:dyDescent="0.3"/>
    <row r="3586" ht="22.8" customHeight="1" x14ac:dyDescent="0.3"/>
    <row r="3587" ht="22.8" customHeight="1" x14ac:dyDescent="0.3"/>
    <row r="3588" ht="22.8" customHeight="1" x14ac:dyDescent="0.3"/>
    <row r="3589" ht="34.200000000000003" customHeight="1" x14ac:dyDescent="0.3"/>
    <row r="3590" ht="22.8" customHeight="1" x14ac:dyDescent="0.3"/>
    <row r="3591" ht="34.200000000000003" customHeight="1" x14ac:dyDescent="0.3"/>
    <row r="3592" ht="34.200000000000003" customHeight="1" x14ac:dyDescent="0.3"/>
    <row r="3593" ht="22.8" customHeight="1" x14ac:dyDescent="0.3"/>
    <row r="3595" ht="22.8" customHeight="1" x14ac:dyDescent="0.3"/>
    <row r="3596" ht="57" customHeight="1" x14ac:dyDescent="0.3"/>
    <row r="3597" ht="34.200000000000003" customHeight="1" x14ac:dyDescent="0.3"/>
    <row r="3598" ht="45.6" customHeight="1" x14ac:dyDescent="0.3"/>
    <row r="3599" ht="34.200000000000003" customHeight="1" x14ac:dyDescent="0.3"/>
    <row r="3600" ht="22.8" customHeight="1" x14ac:dyDescent="0.3"/>
    <row r="3602" ht="34.200000000000003" customHeight="1" x14ac:dyDescent="0.3"/>
    <row r="3603" ht="22.8" customHeight="1" x14ac:dyDescent="0.3"/>
    <row r="3604" ht="22.8" customHeight="1" x14ac:dyDescent="0.3"/>
    <row r="3605" ht="34.200000000000003" customHeight="1" x14ac:dyDescent="0.3"/>
    <row r="3606" ht="45.6" customHeight="1" x14ac:dyDescent="0.3"/>
    <row r="3607" ht="22.8" customHeight="1" x14ac:dyDescent="0.3"/>
    <row r="3608" ht="34.200000000000003" customHeight="1" x14ac:dyDescent="0.3"/>
    <row r="3609" ht="45.6" customHeight="1" x14ac:dyDescent="0.3"/>
    <row r="3610" ht="22.8" customHeight="1" x14ac:dyDescent="0.3"/>
    <row r="3611" ht="34.200000000000003" customHeight="1" x14ac:dyDescent="0.3"/>
    <row r="3612" ht="22.8" customHeight="1" x14ac:dyDescent="0.3"/>
    <row r="3613" ht="22.8" customHeight="1" x14ac:dyDescent="0.3"/>
    <row r="3614" ht="34.200000000000003" customHeight="1" x14ac:dyDescent="0.3"/>
    <row r="3617" ht="22.8" customHeight="1" x14ac:dyDescent="0.3"/>
    <row r="3618" ht="22.8" customHeight="1" x14ac:dyDescent="0.3"/>
    <row r="3619" ht="22.8" customHeight="1" x14ac:dyDescent="0.3"/>
    <row r="3621" ht="22.8" customHeight="1" x14ac:dyDescent="0.3"/>
    <row r="3622" ht="34.200000000000003" customHeight="1" x14ac:dyDescent="0.3"/>
    <row r="3623" ht="22.8" customHeight="1" x14ac:dyDescent="0.3"/>
    <row r="3624" ht="45.6" customHeight="1" x14ac:dyDescent="0.3"/>
    <row r="3625" ht="22.8" customHeight="1" x14ac:dyDescent="0.3"/>
    <row r="3626" ht="34.200000000000003" customHeight="1" x14ac:dyDescent="0.3"/>
    <row r="3627" ht="45.6" customHeight="1" x14ac:dyDescent="0.3"/>
    <row r="3628" ht="45.6" customHeight="1" x14ac:dyDescent="0.3"/>
    <row r="3629" ht="22.8" customHeight="1" x14ac:dyDescent="0.3"/>
    <row r="3630" ht="22.8" customHeight="1" x14ac:dyDescent="0.3"/>
    <row r="3632" ht="22.8" customHeight="1" x14ac:dyDescent="0.3"/>
    <row r="3635" ht="22.8" customHeight="1" x14ac:dyDescent="0.3"/>
    <row r="3636" ht="34.200000000000003" customHeight="1" x14ac:dyDescent="0.3"/>
    <row r="3637" ht="34.200000000000003" customHeight="1" x14ac:dyDescent="0.3"/>
    <row r="3638" ht="34.200000000000003" customHeight="1" x14ac:dyDescent="0.3"/>
    <row r="3640" ht="34.200000000000003" customHeight="1" x14ac:dyDescent="0.3"/>
    <row r="3641" ht="45.6" customHeight="1" x14ac:dyDescent="0.3"/>
    <row r="3642" ht="22.8" customHeight="1" x14ac:dyDescent="0.3"/>
    <row r="3643" ht="22.8" customHeight="1" x14ac:dyDescent="0.3"/>
    <row r="3644" ht="22.8" customHeight="1" x14ac:dyDescent="0.3"/>
    <row r="3645" ht="22.8" customHeight="1" x14ac:dyDescent="0.3"/>
    <row r="3646" ht="22.8" customHeight="1" x14ac:dyDescent="0.3"/>
    <row r="3647" ht="22.8" customHeight="1" x14ac:dyDescent="0.3"/>
    <row r="3648" ht="22.8" customHeight="1" x14ac:dyDescent="0.3"/>
    <row r="3649" ht="34.200000000000003" customHeight="1" x14ac:dyDescent="0.3"/>
    <row r="3650" ht="22.8" customHeight="1" x14ac:dyDescent="0.3"/>
    <row r="3651" ht="34.200000000000003" customHeight="1" x14ac:dyDescent="0.3"/>
    <row r="3652" ht="34.200000000000003" customHeight="1" x14ac:dyDescent="0.3"/>
    <row r="3653" ht="22.8" customHeight="1" x14ac:dyDescent="0.3"/>
    <row r="3655" ht="22.8" customHeight="1" x14ac:dyDescent="0.3"/>
    <row r="3656" ht="22.8" customHeight="1" x14ac:dyDescent="0.3"/>
    <row r="3657" ht="22.8" customHeight="1" x14ac:dyDescent="0.3"/>
    <row r="3658" ht="34.200000000000003" customHeight="1" x14ac:dyDescent="0.3"/>
    <row r="3659" ht="34.200000000000003" customHeight="1" x14ac:dyDescent="0.3"/>
    <row r="3660" ht="22.8" customHeight="1" x14ac:dyDescent="0.3"/>
    <row r="3661" ht="22.8" customHeight="1" x14ac:dyDescent="0.3"/>
    <row r="3662" ht="22.8" customHeight="1" x14ac:dyDescent="0.3"/>
    <row r="3663" ht="34.200000000000003" customHeight="1" x14ac:dyDescent="0.3"/>
    <row r="3664" ht="34.200000000000003" customHeight="1" x14ac:dyDescent="0.3"/>
    <row r="3665" ht="34.200000000000003" customHeight="1" x14ac:dyDescent="0.3"/>
    <row r="3666" ht="34.200000000000003" customHeight="1" x14ac:dyDescent="0.3"/>
    <row r="3667" ht="34.200000000000003" customHeight="1" x14ac:dyDescent="0.3"/>
    <row r="3668" ht="22.8" customHeight="1" x14ac:dyDescent="0.3"/>
    <row r="3669" ht="22.8" customHeight="1" x14ac:dyDescent="0.3"/>
    <row r="3670" ht="45.6" customHeight="1" x14ac:dyDescent="0.3"/>
    <row r="3671" ht="22.8" customHeight="1" x14ac:dyDescent="0.3"/>
    <row r="3672" ht="22.8" customHeight="1" x14ac:dyDescent="0.3"/>
    <row r="3674" ht="34.200000000000003" customHeight="1" x14ac:dyDescent="0.3"/>
    <row r="3675" ht="22.8" customHeight="1" x14ac:dyDescent="0.3"/>
    <row r="3676" ht="22.8" customHeight="1" x14ac:dyDescent="0.3"/>
    <row r="3677" ht="34.200000000000003" customHeight="1" x14ac:dyDescent="0.3"/>
    <row r="3678" ht="34.200000000000003" customHeight="1" x14ac:dyDescent="0.3"/>
    <row r="3679" ht="34.200000000000003" customHeight="1" x14ac:dyDescent="0.3"/>
    <row r="3680" ht="45.6" customHeight="1" x14ac:dyDescent="0.3"/>
    <row r="3681" ht="34.200000000000003" customHeight="1" x14ac:dyDescent="0.3"/>
    <row r="3682" ht="22.8" customHeight="1" x14ac:dyDescent="0.3"/>
    <row r="3683" ht="34.200000000000003" customHeight="1" x14ac:dyDescent="0.3"/>
    <row r="3684" ht="34.200000000000003" customHeight="1" x14ac:dyDescent="0.3"/>
    <row r="3685" ht="34.200000000000003" customHeight="1" x14ac:dyDescent="0.3"/>
    <row r="3686" ht="34.200000000000003" customHeight="1" x14ac:dyDescent="0.3"/>
    <row r="3687" ht="22.8" customHeight="1" x14ac:dyDescent="0.3"/>
    <row r="3688" ht="34.200000000000003" customHeight="1" x14ac:dyDescent="0.3"/>
    <row r="3689" ht="22.8" customHeight="1" x14ac:dyDescent="0.3"/>
    <row r="3690" ht="34.200000000000003" customHeight="1" x14ac:dyDescent="0.3"/>
    <row r="3691" ht="45.6" customHeight="1" x14ac:dyDescent="0.3"/>
    <row r="3692" ht="45.6" customHeight="1" x14ac:dyDescent="0.3"/>
    <row r="3693" ht="22.8" customHeight="1" x14ac:dyDescent="0.3"/>
    <row r="3694" ht="45.6" customHeight="1" x14ac:dyDescent="0.3"/>
    <row r="3695" ht="34.200000000000003" customHeight="1" x14ac:dyDescent="0.3"/>
    <row r="3696" ht="22.8" customHeight="1" x14ac:dyDescent="0.3"/>
    <row r="3697" ht="34.200000000000003" customHeight="1" x14ac:dyDescent="0.3"/>
    <row r="3698" ht="22.8" customHeight="1" x14ac:dyDescent="0.3"/>
    <row r="3699" ht="34.200000000000003" customHeight="1" x14ac:dyDescent="0.3"/>
    <row r="3700" ht="34.200000000000003" customHeight="1" x14ac:dyDescent="0.3"/>
    <row r="3701" ht="34.200000000000003" customHeight="1" x14ac:dyDescent="0.3"/>
    <row r="3702" ht="45.6" customHeight="1" x14ac:dyDescent="0.3"/>
    <row r="3703" ht="34.200000000000003" customHeight="1" x14ac:dyDescent="0.3"/>
    <row r="3704" ht="34.200000000000003" customHeight="1" x14ac:dyDescent="0.3"/>
    <row r="3705" ht="34.200000000000003" customHeight="1" x14ac:dyDescent="0.3"/>
    <row r="3706" ht="34.200000000000003" customHeight="1" x14ac:dyDescent="0.3"/>
    <row r="3708" ht="22.8" customHeight="1" x14ac:dyDescent="0.3"/>
    <row r="3709" ht="22.8" customHeight="1" x14ac:dyDescent="0.3"/>
    <row r="3710" ht="22.8" customHeight="1" x14ac:dyDescent="0.3"/>
    <row r="3712" ht="22.8" customHeight="1" x14ac:dyDescent="0.3"/>
    <row r="3715" ht="34.200000000000003" customHeight="1" x14ac:dyDescent="0.3"/>
    <row r="3716" ht="57" customHeight="1" x14ac:dyDescent="0.3"/>
    <row r="3717" ht="34.200000000000003" customHeight="1" x14ac:dyDescent="0.3"/>
    <row r="3718" ht="34.200000000000003" customHeight="1" x14ac:dyDescent="0.3"/>
    <row r="3719" ht="22.8" customHeight="1" x14ac:dyDescent="0.3"/>
    <row r="3720" ht="57" customHeight="1" x14ac:dyDescent="0.3"/>
    <row r="3721" ht="22.8" customHeight="1" x14ac:dyDescent="0.3"/>
    <row r="3722" ht="34.200000000000003" customHeight="1" x14ac:dyDescent="0.3"/>
    <row r="3723" ht="22.8" customHeight="1" x14ac:dyDescent="0.3"/>
    <row r="3724" ht="22.8" customHeight="1" x14ac:dyDescent="0.3"/>
    <row r="3725" ht="22.8" customHeight="1" x14ac:dyDescent="0.3"/>
    <row r="3726" ht="22.8" customHeight="1" x14ac:dyDescent="0.3"/>
    <row r="3727" ht="22.8" customHeight="1" x14ac:dyDescent="0.3"/>
    <row r="3728" ht="22.8" customHeight="1" x14ac:dyDescent="0.3"/>
    <row r="3729" ht="22.8" customHeight="1" x14ac:dyDescent="0.3"/>
    <row r="3730" ht="34.200000000000003" customHeight="1" x14ac:dyDescent="0.3"/>
    <row r="3731" ht="34.200000000000003" customHeight="1" x14ac:dyDescent="0.3"/>
    <row r="3732" ht="22.8" customHeight="1" x14ac:dyDescent="0.3"/>
    <row r="3733" ht="22.8" customHeight="1" x14ac:dyDescent="0.3"/>
    <row r="3734" ht="22.8" customHeight="1" x14ac:dyDescent="0.3"/>
    <row r="3735" ht="34.200000000000003" customHeight="1" x14ac:dyDescent="0.3"/>
    <row r="3736" ht="34.200000000000003" customHeight="1" x14ac:dyDescent="0.3"/>
    <row r="3737" ht="22.8" customHeight="1" x14ac:dyDescent="0.3"/>
    <row r="3738" ht="22.8" customHeight="1" x14ac:dyDescent="0.3"/>
    <row r="3739" ht="34.200000000000003" customHeight="1" x14ac:dyDescent="0.3"/>
    <row r="3740" ht="22.8" customHeight="1" x14ac:dyDescent="0.3"/>
    <row r="3741" ht="22.8" customHeight="1" x14ac:dyDescent="0.3"/>
    <row r="3742" ht="22.8" customHeight="1" x14ac:dyDescent="0.3"/>
    <row r="3743" ht="22.8" customHeight="1" x14ac:dyDescent="0.3"/>
    <row r="3744" ht="34.200000000000003" customHeight="1" x14ac:dyDescent="0.3"/>
    <row r="3745" ht="22.8" customHeight="1" x14ac:dyDescent="0.3"/>
    <row r="3746" ht="45.6" customHeight="1" x14ac:dyDescent="0.3"/>
    <row r="3747" ht="34.200000000000003" customHeight="1" x14ac:dyDescent="0.3"/>
    <row r="3748" ht="22.8" customHeight="1" x14ac:dyDescent="0.3"/>
    <row r="3749" ht="34.200000000000003" customHeight="1" x14ac:dyDescent="0.3"/>
    <row r="3750" ht="34.200000000000003" customHeight="1" x14ac:dyDescent="0.3"/>
    <row r="3751" ht="34.200000000000003" customHeight="1" x14ac:dyDescent="0.3"/>
    <row r="3752" ht="22.8" customHeight="1" x14ac:dyDescent="0.3"/>
    <row r="3753" ht="22.8" customHeight="1" x14ac:dyDescent="0.3"/>
    <row r="3754" ht="34.200000000000003" customHeight="1" x14ac:dyDescent="0.3"/>
    <row r="3755" ht="22.8" customHeight="1" x14ac:dyDescent="0.3"/>
    <row r="3756" ht="22.8" customHeight="1" x14ac:dyDescent="0.3"/>
    <row r="3757" ht="34.200000000000003" customHeight="1" x14ac:dyDescent="0.3"/>
    <row r="3758" ht="34.200000000000003" customHeight="1" x14ac:dyDescent="0.3"/>
    <row r="3759" ht="57" customHeight="1" x14ac:dyDescent="0.3"/>
    <row r="3760" ht="34.200000000000003" customHeight="1" x14ac:dyDescent="0.3"/>
    <row r="3761" ht="22.8" customHeight="1" x14ac:dyDescent="0.3"/>
    <row r="3762" ht="22.8" customHeight="1" x14ac:dyDescent="0.3"/>
    <row r="3763" ht="34.200000000000003" customHeight="1" x14ac:dyDescent="0.3"/>
    <row r="3764" ht="34.200000000000003" customHeight="1" x14ac:dyDescent="0.3"/>
    <row r="3765" ht="34.200000000000003" customHeight="1" x14ac:dyDescent="0.3"/>
    <row r="3766" ht="22.8" customHeight="1" x14ac:dyDescent="0.3"/>
    <row r="3767" ht="34.200000000000003" customHeight="1" x14ac:dyDescent="0.3"/>
    <row r="3768" ht="22.8" customHeight="1" x14ac:dyDescent="0.3"/>
    <row r="3769" ht="22.8" customHeight="1" x14ac:dyDescent="0.3"/>
    <row r="3770" ht="22.8" customHeight="1" x14ac:dyDescent="0.3"/>
    <row r="3771" ht="22.8" customHeight="1" x14ac:dyDescent="0.3"/>
    <row r="3772" ht="22.8" customHeight="1" x14ac:dyDescent="0.3"/>
    <row r="3773" ht="22.8" customHeight="1" x14ac:dyDescent="0.3"/>
    <row r="3774" ht="45.6" customHeight="1" x14ac:dyDescent="0.3"/>
    <row r="3775" ht="34.200000000000003" customHeight="1" x14ac:dyDescent="0.3"/>
    <row r="3776" ht="34.200000000000003" customHeight="1" x14ac:dyDescent="0.3"/>
    <row r="3777" ht="34.200000000000003" customHeight="1" x14ac:dyDescent="0.3"/>
    <row r="3778" ht="34.200000000000003" customHeight="1" x14ac:dyDescent="0.3"/>
    <row r="3779" ht="34.200000000000003" customHeight="1" x14ac:dyDescent="0.3"/>
    <row r="3780" ht="34.200000000000003" customHeight="1" x14ac:dyDescent="0.3"/>
    <row r="3781" ht="45.6" customHeight="1" x14ac:dyDescent="0.3"/>
    <row r="3782" ht="45.6" customHeight="1" x14ac:dyDescent="0.3"/>
    <row r="3783" ht="34.200000000000003" customHeight="1" x14ac:dyDescent="0.3"/>
    <row r="3787" ht="22.8" customHeight="1" x14ac:dyDescent="0.3"/>
    <row r="3788" ht="45.6" customHeight="1" x14ac:dyDescent="0.3"/>
    <row r="3789" ht="45.6" customHeight="1" x14ac:dyDescent="0.3"/>
    <row r="3790" ht="45.6" customHeight="1" x14ac:dyDescent="0.3"/>
    <row r="3791" ht="34.200000000000003" customHeight="1" x14ac:dyDescent="0.3"/>
    <row r="3792" ht="45.6" customHeight="1" x14ac:dyDescent="0.3"/>
    <row r="3793" ht="57" customHeight="1" x14ac:dyDescent="0.3"/>
    <row r="3794" ht="34.200000000000003" customHeight="1" x14ac:dyDescent="0.3"/>
    <row r="3795" ht="34.200000000000003" customHeight="1" x14ac:dyDescent="0.3"/>
    <row r="3796" ht="22.8" customHeight="1" x14ac:dyDescent="0.3"/>
    <row r="3797" ht="34.200000000000003" customHeight="1" x14ac:dyDescent="0.3"/>
    <row r="3798" ht="22.8" customHeight="1" x14ac:dyDescent="0.3"/>
    <row r="3799" ht="45.6" customHeight="1" x14ac:dyDescent="0.3"/>
    <row r="3800" ht="34.200000000000003" customHeight="1" x14ac:dyDescent="0.3"/>
    <row r="3801" ht="34.200000000000003" customHeight="1" x14ac:dyDescent="0.3"/>
    <row r="3802" ht="45.6" customHeight="1" x14ac:dyDescent="0.3"/>
    <row r="3803" ht="45.6" customHeight="1" x14ac:dyDescent="0.3"/>
    <row r="3804" ht="34.200000000000003" customHeight="1" x14ac:dyDescent="0.3"/>
    <row r="3805" ht="34.200000000000003" customHeight="1" x14ac:dyDescent="0.3"/>
    <row r="3806" ht="34.200000000000003" customHeight="1" x14ac:dyDescent="0.3"/>
    <row r="3807" ht="45.6" customHeight="1" x14ac:dyDescent="0.3"/>
    <row r="3808" ht="22.8" customHeight="1" x14ac:dyDescent="0.3"/>
    <row r="3809" ht="34.200000000000003" customHeight="1" x14ac:dyDescent="0.3"/>
    <row r="3810" ht="45.6" customHeight="1" x14ac:dyDescent="0.3"/>
    <row r="3811" ht="22.8" customHeight="1" x14ac:dyDescent="0.3"/>
    <row r="3812" ht="34.200000000000003" customHeight="1" x14ac:dyDescent="0.3"/>
    <row r="3813" ht="34.200000000000003" customHeight="1" x14ac:dyDescent="0.3"/>
    <row r="3814" ht="22.8" customHeight="1" x14ac:dyDescent="0.3"/>
    <row r="3815" ht="34.200000000000003" customHeight="1" x14ac:dyDescent="0.3"/>
    <row r="3816" ht="22.8" customHeight="1" x14ac:dyDescent="0.3"/>
    <row r="3818" ht="34.200000000000003" customHeight="1" x14ac:dyDescent="0.3"/>
    <row r="3819" ht="45.6" customHeight="1" x14ac:dyDescent="0.3"/>
    <row r="3820" ht="22.8" customHeight="1" x14ac:dyDescent="0.3"/>
    <row r="3821" ht="22.8" customHeight="1" x14ac:dyDescent="0.3"/>
    <row r="3822" ht="34.200000000000003" customHeight="1" x14ac:dyDescent="0.3"/>
    <row r="3823" ht="22.8" customHeight="1" x14ac:dyDescent="0.3"/>
    <row r="3824" ht="22.8" customHeight="1" x14ac:dyDescent="0.3"/>
    <row r="3825" ht="22.8" customHeight="1" x14ac:dyDescent="0.3"/>
    <row r="3826" ht="22.8" customHeight="1" x14ac:dyDescent="0.3"/>
    <row r="3827" ht="22.8" customHeight="1" x14ac:dyDescent="0.3"/>
    <row r="3828" ht="22.8" customHeight="1" x14ac:dyDescent="0.3"/>
    <row r="3829" ht="22.8" customHeight="1" x14ac:dyDescent="0.3"/>
    <row r="3830" ht="34.200000000000003" customHeight="1" x14ac:dyDescent="0.3"/>
    <row r="3831" ht="22.8" customHeight="1" x14ac:dyDescent="0.3"/>
    <row r="3832" ht="68.400000000000006" customHeight="1" x14ac:dyDescent="0.3"/>
    <row r="3833" ht="34.200000000000003" customHeight="1" x14ac:dyDescent="0.3"/>
    <row r="3834" ht="22.8" customHeight="1" x14ac:dyDescent="0.3"/>
    <row r="3835" ht="22.8" customHeight="1" x14ac:dyDescent="0.3"/>
    <row r="3836" ht="57" customHeight="1" x14ac:dyDescent="0.3"/>
    <row r="3837" ht="45.6" customHeight="1" x14ac:dyDescent="0.3"/>
    <row r="3838" ht="57" customHeight="1" x14ac:dyDescent="0.3"/>
    <row r="3839" ht="102.6" customHeight="1" x14ac:dyDescent="0.3"/>
    <row r="3840" ht="45.6" customHeight="1" x14ac:dyDescent="0.3"/>
    <row r="3841" ht="45.6" customHeight="1" x14ac:dyDescent="0.3"/>
    <row r="3842" ht="57" customHeight="1" x14ac:dyDescent="0.3"/>
    <row r="3843" ht="45.6" customHeight="1" x14ac:dyDescent="0.3"/>
    <row r="3844" ht="45.6" customHeight="1" x14ac:dyDescent="0.3"/>
    <row r="3845" ht="57" customHeight="1" x14ac:dyDescent="0.3"/>
    <row r="3846" ht="57" customHeight="1" x14ac:dyDescent="0.3"/>
    <row r="3847" ht="136.80000000000001" customHeight="1" x14ac:dyDescent="0.3"/>
    <row r="3848" ht="45.6" customHeight="1" x14ac:dyDescent="0.3"/>
    <row r="3849" ht="45.6" customHeight="1" x14ac:dyDescent="0.3"/>
    <row r="3850" ht="45.6" customHeight="1" x14ac:dyDescent="0.3"/>
    <row r="3851" ht="45.6" customHeight="1" x14ac:dyDescent="0.3"/>
    <row r="3852" ht="114" customHeight="1" x14ac:dyDescent="0.3"/>
    <row r="3853" ht="57" customHeight="1" x14ac:dyDescent="0.3"/>
    <row r="3854" ht="45.6" customHeight="1" x14ac:dyDescent="0.3"/>
    <row r="3855" ht="45.6" customHeight="1" x14ac:dyDescent="0.3"/>
    <row r="3856" ht="45.6" customHeight="1" x14ac:dyDescent="0.3"/>
    <row r="3857" ht="57" customHeight="1" x14ac:dyDescent="0.3"/>
    <row r="3858" ht="91.2" customHeight="1" x14ac:dyDescent="0.3"/>
    <row r="3859" ht="45.6" customHeight="1" x14ac:dyDescent="0.3"/>
    <row r="3860" ht="45.6" customHeight="1" x14ac:dyDescent="0.3"/>
    <row r="3861" ht="45.6" customHeight="1" x14ac:dyDescent="0.3"/>
    <row r="3862" ht="45.6" customHeight="1" x14ac:dyDescent="0.3"/>
    <row r="3863" ht="57" customHeight="1" x14ac:dyDescent="0.3"/>
    <row r="3864" ht="45.6" customHeight="1" x14ac:dyDescent="0.3"/>
    <row r="3865" ht="45.6" customHeight="1" x14ac:dyDescent="0.3"/>
    <row r="3866" ht="45.6" customHeight="1" x14ac:dyDescent="0.3"/>
    <row r="3867" ht="45.6" customHeight="1" x14ac:dyDescent="0.3"/>
    <row r="3868" ht="45.6" customHeight="1" x14ac:dyDescent="0.3"/>
    <row r="3869" ht="57" customHeight="1" x14ac:dyDescent="0.3"/>
    <row r="3870" ht="57" customHeight="1" x14ac:dyDescent="0.3"/>
    <row r="3871" ht="45.6" customHeight="1" x14ac:dyDescent="0.3"/>
    <row r="3872" ht="45.6" customHeight="1" x14ac:dyDescent="0.3"/>
    <row r="3873" ht="45.6" customHeight="1" x14ac:dyDescent="0.3"/>
    <row r="3874" ht="45.6" customHeight="1" x14ac:dyDescent="0.3"/>
    <row r="3875" ht="79.8" customHeight="1" x14ac:dyDescent="0.3"/>
    <row r="3876" ht="57" customHeight="1" x14ac:dyDescent="0.3"/>
    <row r="3877" ht="45.6" customHeight="1" x14ac:dyDescent="0.3"/>
    <row r="3878" ht="45.6" customHeight="1" x14ac:dyDescent="0.3"/>
    <row r="3879" ht="45.6" customHeight="1" x14ac:dyDescent="0.3"/>
    <row r="3880" ht="45.6" customHeight="1" x14ac:dyDescent="0.3"/>
    <row r="3881" ht="45.6" customHeight="1" x14ac:dyDescent="0.3"/>
    <row r="3882" ht="34.200000000000003" customHeight="1" x14ac:dyDescent="0.3"/>
    <row r="3883" ht="45.6" customHeight="1" x14ac:dyDescent="0.3"/>
    <row r="3884" ht="45.6" customHeight="1" x14ac:dyDescent="0.3"/>
    <row r="3885" ht="45.6" customHeight="1" x14ac:dyDescent="0.3"/>
    <row r="3886" ht="45.6" customHeight="1" x14ac:dyDescent="0.3"/>
    <row r="3887" ht="45.6" customHeight="1" x14ac:dyDescent="0.3"/>
    <row r="3888" ht="45.6" customHeight="1" x14ac:dyDescent="0.3"/>
    <row r="3889" ht="57" customHeight="1" x14ac:dyDescent="0.3"/>
    <row r="3890" ht="34.200000000000003" customHeight="1" x14ac:dyDescent="0.3"/>
    <row r="3891" ht="45.6" customHeight="1" x14ac:dyDescent="0.3"/>
    <row r="3892" ht="45.6" customHeight="1" x14ac:dyDescent="0.3"/>
    <row r="3893" ht="45.6" customHeight="1" x14ac:dyDescent="0.3"/>
    <row r="3894" ht="45.6" customHeight="1" x14ac:dyDescent="0.3"/>
    <row r="3895" ht="57" customHeight="1" x14ac:dyDescent="0.3"/>
    <row r="3896" ht="68.400000000000006" customHeight="1" x14ac:dyDescent="0.3"/>
    <row r="3897" ht="45.6" customHeight="1" x14ac:dyDescent="0.3"/>
    <row r="3898" ht="57" customHeight="1" x14ac:dyDescent="0.3"/>
    <row r="3899" ht="45.6" customHeight="1" x14ac:dyDescent="0.3"/>
    <row r="3900" ht="45.6" customHeight="1" x14ac:dyDescent="0.3"/>
    <row r="3901" ht="45.6" customHeight="1" x14ac:dyDescent="0.3"/>
    <row r="3902" ht="79.8" customHeight="1" x14ac:dyDescent="0.3"/>
    <row r="3903" ht="45.6" customHeight="1" x14ac:dyDescent="0.3"/>
    <row r="3904" ht="45.6" customHeight="1" x14ac:dyDescent="0.3"/>
    <row r="3905" ht="45.6" customHeight="1" x14ac:dyDescent="0.3"/>
    <row r="3906" ht="45.6" customHeight="1" x14ac:dyDescent="0.3"/>
    <row r="3907" ht="45.6" customHeight="1" x14ac:dyDescent="0.3"/>
    <row r="3908" ht="34.200000000000003" customHeight="1" x14ac:dyDescent="0.3"/>
    <row r="3909" ht="45.6" customHeight="1" x14ac:dyDescent="0.3"/>
    <row r="3910" ht="57" customHeight="1" x14ac:dyDescent="0.3"/>
    <row r="3911" ht="57" customHeight="1" x14ac:dyDescent="0.3"/>
    <row r="3912" ht="79.8" customHeight="1" x14ac:dyDescent="0.3"/>
    <row r="3913" ht="79.8" customHeight="1" x14ac:dyDescent="0.3"/>
    <row r="3914" ht="57" customHeight="1" x14ac:dyDescent="0.3"/>
    <row r="3915" ht="57" customHeight="1" x14ac:dyDescent="0.3"/>
    <row r="3916" ht="45.6" customHeight="1" x14ac:dyDescent="0.3"/>
    <row r="3917" ht="45.6" customHeight="1" x14ac:dyDescent="0.3"/>
    <row r="3918" ht="57" customHeight="1" x14ac:dyDescent="0.3"/>
    <row r="3919" ht="57" customHeight="1" x14ac:dyDescent="0.3"/>
    <row r="3920" ht="68.400000000000006" customHeight="1" x14ac:dyDescent="0.3"/>
    <row r="3921" ht="57" customHeight="1" x14ac:dyDescent="0.3"/>
    <row r="3922" ht="45.6" customHeight="1" x14ac:dyDescent="0.3"/>
    <row r="3923" ht="91.2" customHeight="1" x14ac:dyDescent="0.3"/>
    <row r="3924" ht="57" customHeight="1" x14ac:dyDescent="0.3"/>
    <row r="3925" ht="57" customHeight="1" x14ac:dyDescent="0.3"/>
    <row r="3926" ht="45.6" customHeight="1" x14ac:dyDescent="0.3"/>
    <row r="3927" ht="45.6" customHeight="1" x14ac:dyDescent="0.3"/>
    <row r="3928" ht="45.6" customHeight="1" x14ac:dyDescent="0.3"/>
    <row r="3929" ht="34.200000000000003" customHeight="1" x14ac:dyDescent="0.3"/>
    <row r="3930" ht="34.200000000000003" customHeight="1" x14ac:dyDescent="0.3"/>
    <row r="3932" ht="45.6" customHeight="1" x14ac:dyDescent="0.3"/>
    <row r="3933" ht="22.8" customHeight="1" x14ac:dyDescent="0.3"/>
    <row r="3934" ht="34.200000000000003" customHeight="1" x14ac:dyDescent="0.3"/>
    <row r="3935" ht="22.8" customHeight="1" x14ac:dyDescent="0.3"/>
    <row r="3936" ht="34.200000000000003" customHeight="1" x14ac:dyDescent="0.3"/>
    <row r="3937" ht="45.6" customHeight="1" x14ac:dyDescent="0.3"/>
    <row r="3938" ht="45.6" customHeight="1" x14ac:dyDescent="0.3"/>
    <row r="3939" ht="45.6" customHeight="1" x14ac:dyDescent="0.3"/>
    <row r="3940" ht="34.200000000000003" customHeight="1" x14ac:dyDescent="0.3"/>
    <row r="3941" ht="34.200000000000003" customHeight="1" x14ac:dyDescent="0.3"/>
    <row r="3942" ht="79.8" customHeight="1" x14ac:dyDescent="0.3"/>
    <row r="3943" ht="34.200000000000003" customHeight="1" x14ac:dyDescent="0.3"/>
    <row r="3944" ht="34.200000000000003" customHeight="1" x14ac:dyDescent="0.3"/>
    <row r="3945" ht="22.8" customHeight="1" x14ac:dyDescent="0.3"/>
    <row r="3946" ht="34.200000000000003" customHeight="1" x14ac:dyDescent="0.3"/>
    <row r="3947" ht="45.6" customHeight="1" x14ac:dyDescent="0.3"/>
    <row r="3948" ht="45.6" customHeight="1" x14ac:dyDescent="0.3"/>
    <row r="3949" ht="34.200000000000003" customHeight="1" x14ac:dyDescent="0.3"/>
    <row r="3950" ht="34.200000000000003" customHeight="1" x14ac:dyDescent="0.3"/>
    <row r="3951" ht="34.200000000000003" customHeight="1" x14ac:dyDescent="0.3"/>
    <row r="3952" ht="57" customHeight="1" x14ac:dyDescent="0.3"/>
    <row r="3953" ht="34.200000000000003" customHeight="1" x14ac:dyDescent="0.3"/>
    <row r="3954" ht="22.8" customHeight="1" x14ac:dyDescent="0.3"/>
    <row r="3955" ht="22.8" customHeight="1" x14ac:dyDescent="0.3"/>
    <row r="3956" ht="22.8" customHeight="1" x14ac:dyDescent="0.3"/>
    <row r="3957" ht="22.8" customHeight="1" x14ac:dyDescent="0.3"/>
    <row r="3959" ht="22.8" customHeight="1" x14ac:dyDescent="0.3"/>
    <row r="3960" ht="22.8" customHeight="1" x14ac:dyDescent="0.3"/>
    <row r="3961" ht="34.200000000000003" customHeight="1" x14ac:dyDescent="0.3"/>
    <row r="3962" ht="22.8" customHeight="1" x14ac:dyDescent="0.3"/>
    <row r="3963" ht="34.200000000000003" customHeight="1" x14ac:dyDescent="0.3"/>
    <row r="3964" ht="22.8" customHeight="1" x14ac:dyDescent="0.3"/>
    <row r="3965" ht="22.8" customHeight="1" x14ac:dyDescent="0.3"/>
    <row r="3966" ht="34.200000000000003" customHeight="1" x14ac:dyDescent="0.3"/>
    <row r="3967" ht="22.8" customHeight="1" x14ac:dyDescent="0.3"/>
    <row r="3968" ht="22.8" customHeight="1" x14ac:dyDescent="0.3"/>
    <row r="3969" ht="34.200000000000003" customHeight="1" x14ac:dyDescent="0.3"/>
    <row r="3970" ht="22.8" customHeight="1" x14ac:dyDescent="0.3"/>
    <row r="3971" ht="22.8" customHeight="1" x14ac:dyDescent="0.3"/>
    <row r="3972" ht="34.200000000000003" customHeight="1" x14ac:dyDescent="0.3"/>
    <row r="3973" ht="22.8" customHeight="1" x14ac:dyDescent="0.3"/>
    <row r="3974" ht="34.200000000000003" customHeight="1" x14ac:dyDescent="0.3"/>
    <row r="3977" ht="34.200000000000003" customHeight="1" x14ac:dyDescent="0.3"/>
    <row r="3978" ht="22.8" customHeight="1" x14ac:dyDescent="0.3"/>
    <row r="3979" ht="22.8" customHeight="1" x14ac:dyDescent="0.3"/>
    <row r="3980" ht="22.8" customHeight="1" x14ac:dyDescent="0.3"/>
    <row r="3981" ht="22.8" customHeight="1" x14ac:dyDescent="0.3"/>
    <row r="3982" ht="22.8" customHeight="1" x14ac:dyDescent="0.3"/>
    <row r="3983" ht="22.8" customHeight="1" x14ac:dyDescent="0.3"/>
    <row r="3984" ht="22.8" customHeight="1" x14ac:dyDescent="0.3"/>
    <row r="3985" ht="22.8" customHeight="1" x14ac:dyDescent="0.3"/>
    <row r="3986" ht="34.200000000000003" customHeight="1" x14ac:dyDescent="0.3"/>
    <row r="3987" ht="57" customHeight="1" x14ac:dyDescent="0.3"/>
    <row r="3988" ht="22.8" customHeight="1" x14ac:dyDescent="0.3"/>
    <row r="3989" ht="22.8" customHeight="1" x14ac:dyDescent="0.3"/>
    <row r="3991" ht="22.8" customHeight="1" x14ac:dyDescent="0.3"/>
    <row r="3992" ht="22.8" customHeight="1" x14ac:dyDescent="0.3"/>
    <row r="3993" ht="34.200000000000003" customHeight="1" x14ac:dyDescent="0.3"/>
    <row r="3994" ht="34.200000000000003" customHeight="1" x14ac:dyDescent="0.3"/>
    <row r="3995" ht="34.200000000000003" customHeight="1" x14ac:dyDescent="0.3"/>
    <row r="3996" ht="22.8" customHeight="1" x14ac:dyDescent="0.3"/>
    <row r="3997" ht="22.8" customHeight="1" x14ac:dyDescent="0.3"/>
    <row r="3999" ht="22.8" customHeight="1" x14ac:dyDescent="0.3"/>
    <row r="4000" ht="34.200000000000003" customHeight="1" x14ac:dyDescent="0.3"/>
    <row r="4001" ht="45.6" customHeight="1" x14ac:dyDescent="0.3"/>
    <row r="4002" ht="22.8" customHeight="1" x14ac:dyDescent="0.3"/>
    <row r="4003" ht="34.200000000000003" customHeight="1" x14ac:dyDescent="0.3"/>
    <row r="4004" ht="34.200000000000003" customHeight="1" x14ac:dyDescent="0.3"/>
    <row r="4005" ht="22.8" customHeight="1" x14ac:dyDescent="0.3"/>
    <row r="4006" ht="22.8" customHeight="1" x14ac:dyDescent="0.3"/>
    <row r="4007" ht="22.8" customHeight="1" x14ac:dyDescent="0.3"/>
    <row r="4008" ht="22.8" customHeight="1" x14ac:dyDescent="0.3"/>
    <row r="4010" ht="22.8" customHeight="1" x14ac:dyDescent="0.3"/>
    <row r="4011" ht="34.200000000000003" customHeight="1" x14ac:dyDescent="0.3"/>
    <row r="4013" ht="22.8" customHeight="1" x14ac:dyDescent="0.3"/>
    <row r="4014" ht="34.200000000000003" customHeight="1" x14ac:dyDescent="0.3"/>
    <row r="4015" ht="34.200000000000003" customHeight="1" x14ac:dyDescent="0.3"/>
    <row r="4016" ht="34.200000000000003" customHeight="1" x14ac:dyDescent="0.3"/>
    <row r="4017" ht="22.8" customHeight="1" x14ac:dyDescent="0.3"/>
    <row r="4018" ht="22.8" customHeight="1" x14ac:dyDescent="0.3"/>
    <row r="4019" ht="22.8" customHeight="1" x14ac:dyDescent="0.3"/>
    <row r="4020" ht="22.8" customHeight="1" x14ac:dyDescent="0.3"/>
    <row r="4021" ht="22.8" customHeight="1" x14ac:dyDescent="0.3"/>
    <row r="4022" ht="22.8" customHeight="1" x14ac:dyDescent="0.3"/>
    <row r="4024" ht="22.8" customHeight="1" x14ac:dyDescent="0.3"/>
    <row r="4026" ht="34.200000000000003" customHeight="1" x14ac:dyDescent="0.3"/>
    <row r="4027" ht="34.200000000000003" customHeight="1" x14ac:dyDescent="0.3"/>
    <row r="4028" ht="34.200000000000003" customHeight="1" x14ac:dyDescent="0.3"/>
    <row r="4033" ht="22.8" customHeight="1" x14ac:dyDescent="0.3"/>
    <row r="4034" ht="45.6" customHeight="1" x14ac:dyDescent="0.3"/>
    <row r="4035" ht="22.8" customHeight="1" x14ac:dyDescent="0.3"/>
    <row r="4036" ht="45.6" customHeight="1" x14ac:dyDescent="0.3"/>
    <row r="4037" ht="22.8" customHeight="1" x14ac:dyDescent="0.3"/>
    <row r="4039" ht="22.8" customHeight="1" x14ac:dyDescent="0.3"/>
    <row r="4040" ht="22.8" customHeight="1" x14ac:dyDescent="0.3"/>
    <row r="4041" ht="22.8" customHeight="1" x14ac:dyDescent="0.3"/>
    <row r="4042" ht="22.8" customHeight="1" x14ac:dyDescent="0.3"/>
    <row r="4044" ht="22.8" customHeight="1" x14ac:dyDescent="0.3"/>
    <row r="4045" ht="34.200000000000003" customHeight="1" x14ac:dyDescent="0.3"/>
    <row r="4046" ht="22.8" customHeight="1" x14ac:dyDescent="0.3"/>
    <row r="4049" ht="22.8" customHeight="1" x14ac:dyDescent="0.3"/>
    <row r="4050" ht="22.8" customHeight="1" x14ac:dyDescent="0.3"/>
    <row r="4051" ht="45.6" customHeight="1" x14ac:dyDescent="0.3"/>
    <row r="4053" ht="34.200000000000003" customHeight="1" x14ac:dyDescent="0.3"/>
    <row r="4054" ht="34.200000000000003" customHeight="1" x14ac:dyDescent="0.3"/>
    <row r="4055" ht="34.200000000000003" customHeight="1" x14ac:dyDescent="0.3"/>
    <row r="4058" ht="22.8" customHeight="1" x14ac:dyDescent="0.3"/>
    <row r="4059" ht="22.8" customHeight="1" x14ac:dyDescent="0.3"/>
    <row r="4061" ht="45.6" customHeight="1" x14ac:dyDescent="0.3"/>
    <row r="4062" ht="22.8" customHeight="1" x14ac:dyDescent="0.3"/>
    <row r="4063" ht="22.8" customHeight="1" x14ac:dyDescent="0.3"/>
    <row r="4064" ht="22.8" customHeight="1" x14ac:dyDescent="0.3"/>
    <row r="4065" ht="22.8" customHeight="1" x14ac:dyDescent="0.3"/>
    <row r="4066" ht="45.6" customHeight="1" x14ac:dyDescent="0.3"/>
    <row r="4067" ht="22.8" customHeight="1" x14ac:dyDescent="0.3"/>
    <row r="4068" ht="45.6" customHeight="1" x14ac:dyDescent="0.3"/>
    <row r="4069" ht="57" customHeight="1" x14ac:dyDescent="0.3"/>
    <row r="4070" ht="57" customHeight="1" x14ac:dyDescent="0.3"/>
    <row r="4071" ht="45.6" customHeight="1" x14ac:dyDescent="0.3"/>
    <row r="4072" ht="57" customHeight="1" x14ac:dyDescent="0.3"/>
    <row r="4073" ht="34.200000000000003" customHeight="1" x14ac:dyDescent="0.3"/>
    <row r="4074" ht="34.200000000000003" customHeight="1" x14ac:dyDescent="0.3"/>
    <row r="4075" ht="22.8" customHeight="1" x14ac:dyDescent="0.3"/>
    <row r="4078" ht="34.200000000000003" customHeight="1" x14ac:dyDescent="0.3"/>
    <row r="4079" ht="22.8" customHeight="1" x14ac:dyDescent="0.3"/>
    <row r="4080" ht="22.8" customHeight="1" x14ac:dyDescent="0.3"/>
    <row r="4081" ht="22.8" customHeight="1" x14ac:dyDescent="0.3"/>
    <row r="4082" ht="22.8" customHeight="1" x14ac:dyDescent="0.3"/>
    <row r="4083" ht="45.6" customHeight="1" x14ac:dyDescent="0.3"/>
    <row r="4084" ht="22.8" customHeight="1" x14ac:dyDescent="0.3"/>
    <row r="4085" ht="45.6" customHeight="1" x14ac:dyDescent="0.3"/>
    <row r="4086" ht="22.8" customHeight="1" x14ac:dyDescent="0.3"/>
    <row r="4087" ht="34.200000000000003" customHeight="1" x14ac:dyDescent="0.3"/>
    <row r="4088" ht="45.6" customHeight="1" x14ac:dyDescent="0.3"/>
    <row r="4089" ht="22.8" customHeight="1" x14ac:dyDescent="0.3"/>
    <row r="4090" ht="45.6" customHeight="1" x14ac:dyDescent="0.3"/>
    <row r="4091" ht="34.200000000000003" customHeight="1" x14ac:dyDescent="0.3"/>
    <row r="4092" ht="34.200000000000003" customHeight="1" x14ac:dyDescent="0.3"/>
    <row r="4093" ht="22.8" customHeight="1" x14ac:dyDescent="0.3"/>
    <row r="4094" ht="34.200000000000003" customHeight="1" x14ac:dyDescent="0.3"/>
    <row r="4095" ht="34.200000000000003" customHeight="1" x14ac:dyDescent="0.3"/>
    <row r="4096" ht="34.200000000000003" customHeight="1" x14ac:dyDescent="0.3"/>
    <row r="4097" ht="34.200000000000003" customHeight="1" x14ac:dyDescent="0.3"/>
    <row r="4098" ht="22.8" customHeight="1" x14ac:dyDescent="0.3"/>
    <row r="4099" ht="22.8" customHeight="1" x14ac:dyDescent="0.3"/>
    <row r="4101" ht="34.200000000000003" customHeight="1" x14ac:dyDescent="0.3"/>
    <row r="4102" ht="45.6" customHeight="1" x14ac:dyDescent="0.3"/>
    <row r="4103" ht="45.6" customHeight="1" x14ac:dyDescent="0.3"/>
    <row r="4104" ht="34.200000000000003" customHeight="1" x14ac:dyDescent="0.3"/>
    <row r="4105" ht="45.6" customHeight="1" x14ac:dyDescent="0.3"/>
    <row r="4106" ht="34.200000000000003" customHeight="1" x14ac:dyDescent="0.3"/>
    <row r="4107" ht="34.200000000000003" customHeight="1" x14ac:dyDescent="0.3"/>
    <row r="4108" ht="34.200000000000003" customHeight="1" x14ac:dyDescent="0.3"/>
    <row r="4109" ht="34.200000000000003" customHeight="1" x14ac:dyDescent="0.3"/>
    <row r="4110" ht="45.6" customHeight="1" x14ac:dyDescent="0.3"/>
    <row r="4111" ht="34.200000000000003" customHeight="1" x14ac:dyDescent="0.3"/>
    <row r="4112" ht="45.6" customHeight="1" x14ac:dyDescent="0.3"/>
    <row r="4113" ht="34.200000000000003" customHeight="1" x14ac:dyDescent="0.3"/>
    <row r="4114" ht="34.200000000000003" customHeight="1" x14ac:dyDescent="0.3"/>
    <row r="4115" ht="22.8" customHeight="1" x14ac:dyDescent="0.3"/>
    <row r="4116" ht="34.200000000000003" customHeight="1" x14ac:dyDescent="0.3"/>
    <row r="4117" ht="22.8" customHeight="1" x14ac:dyDescent="0.3"/>
    <row r="4118" ht="57" customHeight="1" x14ac:dyDescent="0.3"/>
    <row r="4119" ht="34.200000000000003" customHeight="1" x14ac:dyDescent="0.3"/>
    <row r="4120" ht="34.200000000000003" customHeight="1" x14ac:dyDescent="0.3"/>
    <row r="4121" ht="34.200000000000003" customHeight="1" x14ac:dyDescent="0.3"/>
    <row r="4122" ht="34.200000000000003" customHeight="1" x14ac:dyDescent="0.3"/>
    <row r="4123" ht="22.8" customHeight="1" x14ac:dyDescent="0.3"/>
    <row r="4124" ht="34.200000000000003" customHeight="1" x14ac:dyDescent="0.3"/>
    <row r="4125" ht="45.6" customHeight="1" x14ac:dyDescent="0.3"/>
    <row r="4126" ht="22.8" customHeight="1" x14ac:dyDescent="0.3"/>
    <row r="4127" ht="68.400000000000006" customHeight="1" x14ac:dyDescent="0.3"/>
    <row r="4128" ht="34.200000000000003" customHeight="1" x14ac:dyDescent="0.3"/>
    <row r="4129" ht="34.200000000000003" customHeight="1" x14ac:dyDescent="0.3"/>
    <row r="4131" ht="34.200000000000003" customHeight="1" x14ac:dyDescent="0.3"/>
    <row r="4132" ht="34.200000000000003" customHeight="1" x14ac:dyDescent="0.3"/>
    <row r="4133" ht="22.8" customHeight="1" x14ac:dyDescent="0.3"/>
    <row r="4134" ht="45.6" customHeight="1" x14ac:dyDescent="0.3"/>
    <row r="4135" ht="22.8" customHeight="1" x14ac:dyDescent="0.3"/>
    <row r="4136" ht="45.6" customHeight="1" x14ac:dyDescent="0.3"/>
    <row r="4137" ht="57" customHeight="1" x14ac:dyDescent="0.3"/>
    <row r="4138" ht="45.6" customHeight="1" x14ac:dyDescent="0.3"/>
    <row r="4139" ht="45.6" customHeight="1" x14ac:dyDescent="0.3"/>
    <row r="4140" ht="57" customHeight="1" x14ac:dyDescent="0.3"/>
    <row r="4141" ht="57" customHeight="1" x14ac:dyDescent="0.3"/>
    <row r="4142" ht="22.8" customHeight="1" x14ac:dyDescent="0.3"/>
    <row r="4143" ht="22.8" customHeight="1" x14ac:dyDescent="0.3"/>
    <row r="4144" ht="34.200000000000003" customHeight="1" x14ac:dyDescent="0.3"/>
    <row r="4145" ht="22.8" customHeight="1" x14ac:dyDescent="0.3"/>
    <row r="4146" ht="34.200000000000003" customHeight="1" x14ac:dyDescent="0.3"/>
    <row r="4147" ht="34.200000000000003" customHeight="1" x14ac:dyDescent="0.3"/>
    <row r="4148" ht="45.6" customHeight="1" x14ac:dyDescent="0.3"/>
    <row r="4149" ht="45.6" customHeight="1" x14ac:dyDescent="0.3"/>
    <row r="4150" ht="34.200000000000003" customHeight="1" x14ac:dyDescent="0.3"/>
    <row r="4151" ht="79.8" customHeight="1" x14ac:dyDescent="0.3"/>
    <row r="4152" ht="34.200000000000003" customHeight="1" x14ac:dyDescent="0.3"/>
    <row r="4153" ht="57" customHeight="1" x14ac:dyDescent="0.3"/>
    <row r="4154" ht="22.8" customHeight="1" x14ac:dyDescent="0.3"/>
    <row r="4155" ht="22.8" customHeight="1" x14ac:dyDescent="0.3"/>
    <row r="4156" ht="22.8" customHeight="1" x14ac:dyDescent="0.3"/>
    <row r="4157" ht="22.8" customHeight="1" x14ac:dyDescent="0.3"/>
    <row r="4158" ht="22.8" customHeight="1" x14ac:dyDescent="0.3"/>
    <row r="4159" ht="34.200000000000003" customHeight="1" x14ac:dyDescent="0.3"/>
    <row r="4160" ht="22.8" customHeight="1" x14ac:dyDescent="0.3"/>
    <row r="4161" ht="22.8" customHeight="1" x14ac:dyDescent="0.3"/>
    <row r="4163" ht="34.200000000000003" customHeight="1" x14ac:dyDescent="0.3"/>
    <row r="4164" ht="22.8" customHeight="1" x14ac:dyDescent="0.3"/>
    <row r="4165" ht="34.200000000000003" customHeight="1" x14ac:dyDescent="0.3"/>
    <row r="4166" ht="34.200000000000003" customHeight="1" x14ac:dyDescent="0.3"/>
    <row r="4167" ht="22.8" customHeight="1" x14ac:dyDescent="0.3"/>
    <row r="4168" ht="45.6" customHeight="1" x14ac:dyDescent="0.3"/>
    <row r="4169" ht="45.6" customHeight="1" x14ac:dyDescent="0.3"/>
    <row r="4170" ht="34.200000000000003" customHeight="1" x14ac:dyDescent="0.3"/>
    <row r="4171" ht="34.200000000000003" customHeight="1" x14ac:dyDescent="0.3"/>
    <row r="4172" ht="22.8" customHeight="1" x14ac:dyDescent="0.3"/>
    <row r="4173" ht="22.8" customHeight="1" x14ac:dyDescent="0.3"/>
    <row r="4174" ht="22.8" customHeight="1" x14ac:dyDescent="0.3"/>
    <row r="4175" ht="57" customHeight="1" x14ac:dyDescent="0.3"/>
    <row r="4176" ht="34.200000000000003" customHeight="1" x14ac:dyDescent="0.3"/>
    <row r="4177" ht="45.6" customHeight="1" x14ac:dyDescent="0.3"/>
    <row r="4178" ht="57" customHeight="1" x14ac:dyDescent="0.3"/>
    <row r="4179" ht="45.6" customHeight="1" x14ac:dyDescent="0.3"/>
    <row r="4180" ht="22.8" customHeight="1" x14ac:dyDescent="0.3"/>
    <row r="4181" ht="45.6" customHeight="1" x14ac:dyDescent="0.3"/>
    <row r="4182" ht="34.200000000000003" customHeight="1" x14ac:dyDescent="0.3"/>
    <row r="4183" ht="34.200000000000003" customHeight="1" x14ac:dyDescent="0.3"/>
    <row r="4184" ht="22.8" customHeight="1" x14ac:dyDescent="0.3"/>
    <row r="4185" ht="22.8" customHeight="1" x14ac:dyDescent="0.3"/>
    <row r="4186" ht="22.8" customHeight="1" x14ac:dyDescent="0.3"/>
    <row r="4188" ht="22.8" customHeight="1" x14ac:dyDescent="0.3"/>
    <row r="4189" ht="22.8" customHeight="1" x14ac:dyDescent="0.3"/>
    <row r="4190" ht="34.200000000000003" customHeight="1" x14ac:dyDescent="0.3"/>
    <row r="4191" ht="22.8" customHeight="1" x14ac:dyDescent="0.3"/>
    <row r="4192" ht="34.200000000000003" customHeight="1" x14ac:dyDescent="0.3"/>
    <row r="4194" ht="22.8" customHeight="1" x14ac:dyDescent="0.3"/>
    <row r="4195" ht="22.8" customHeight="1" x14ac:dyDescent="0.3"/>
    <row r="4196" ht="34.200000000000003" customHeight="1" x14ac:dyDescent="0.3"/>
    <row r="4197" ht="34.200000000000003" customHeight="1" x14ac:dyDescent="0.3"/>
    <row r="4198" ht="34.200000000000003" customHeight="1" x14ac:dyDescent="0.3"/>
    <row r="4199" ht="34.200000000000003" customHeight="1" x14ac:dyDescent="0.3"/>
    <row r="4200" ht="22.8" customHeight="1" x14ac:dyDescent="0.3"/>
    <row r="4201" ht="22.8" customHeight="1" x14ac:dyDescent="0.3"/>
    <row r="4202" ht="22.8" customHeight="1" x14ac:dyDescent="0.3"/>
    <row r="4203" ht="57" customHeight="1" x14ac:dyDescent="0.3"/>
    <row r="4204" ht="45.6" customHeight="1" x14ac:dyDescent="0.3"/>
    <row r="4205" ht="45.6" customHeight="1" x14ac:dyDescent="0.3"/>
    <row r="4206" ht="22.8" customHeight="1" x14ac:dyDescent="0.3"/>
    <row r="4207" ht="34.200000000000003" customHeight="1" x14ac:dyDescent="0.3"/>
    <row r="4208" ht="57" customHeight="1" x14ac:dyDescent="0.3"/>
    <row r="4209" ht="45.6" customHeight="1" x14ac:dyDescent="0.3"/>
    <row r="4210" ht="91.2" customHeight="1" x14ac:dyDescent="0.3"/>
    <row r="4211" ht="22.8" customHeight="1" x14ac:dyDescent="0.3"/>
    <row r="4212" ht="22.8" customHeight="1" x14ac:dyDescent="0.3"/>
    <row r="4213" ht="22.8" customHeight="1" x14ac:dyDescent="0.3"/>
    <row r="4214" ht="34.200000000000003" customHeight="1" x14ac:dyDescent="0.3"/>
    <row r="4215" ht="34.200000000000003" customHeight="1" x14ac:dyDescent="0.3"/>
    <row r="4216" ht="45.6" customHeight="1" x14ac:dyDescent="0.3"/>
    <row r="4217" ht="22.8" customHeight="1" x14ac:dyDescent="0.3"/>
    <row r="4218" ht="34.200000000000003" customHeight="1" x14ac:dyDescent="0.3"/>
    <row r="4220" ht="34.200000000000003" customHeight="1" x14ac:dyDescent="0.3"/>
    <row r="4221" ht="34.200000000000003" customHeight="1" x14ac:dyDescent="0.3"/>
    <row r="4222" ht="79.8" customHeight="1" x14ac:dyDescent="0.3"/>
    <row r="4223" ht="57" customHeight="1" x14ac:dyDescent="0.3"/>
    <row r="4224" ht="45.6" customHeight="1" x14ac:dyDescent="0.3"/>
    <row r="4225" ht="22.8" customHeight="1" x14ac:dyDescent="0.3"/>
    <row r="4226" ht="45.6" customHeight="1" x14ac:dyDescent="0.3"/>
    <row r="4227" ht="22.8" customHeight="1" x14ac:dyDescent="0.3"/>
    <row r="4228" ht="22.8" customHeight="1" x14ac:dyDescent="0.3"/>
    <row r="4229" ht="22.8" customHeight="1" x14ac:dyDescent="0.3"/>
    <row r="4230" ht="22.8" customHeight="1" x14ac:dyDescent="0.3"/>
    <row r="4231" ht="22.8" customHeight="1" x14ac:dyDescent="0.3"/>
    <row r="4232" ht="22.8" customHeight="1" x14ac:dyDescent="0.3"/>
    <row r="4233" ht="34.200000000000003" customHeight="1" x14ac:dyDescent="0.3"/>
    <row r="4234" ht="22.8" customHeight="1" x14ac:dyDescent="0.3"/>
    <row r="4235" ht="34.200000000000003" customHeight="1" x14ac:dyDescent="0.3"/>
    <row r="4236" ht="22.8" customHeight="1" x14ac:dyDescent="0.3"/>
    <row r="4237" ht="34.200000000000003" customHeight="1" x14ac:dyDescent="0.3"/>
    <row r="4238" ht="34.200000000000003" customHeight="1" x14ac:dyDescent="0.3"/>
    <row r="4239" ht="22.8" customHeight="1" x14ac:dyDescent="0.3"/>
    <row r="4240" ht="22.8" customHeight="1" x14ac:dyDescent="0.3"/>
    <row r="4241" ht="22.8" customHeight="1" x14ac:dyDescent="0.3"/>
    <row r="4242" ht="22.8" customHeight="1" x14ac:dyDescent="0.3"/>
    <row r="4243" ht="57" customHeight="1" x14ac:dyDescent="0.3"/>
    <row r="4244" ht="34.200000000000003" customHeight="1" x14ac:dyDescent="0.3"/>
    <row r="4245" ht="34.200000000000003" customHeight="1" x14ac:dyDescent="0.3"/>
    <row r="4246" ht="45.6" customHeight="1" x14ac:dyDescent="0.3"/>
    <row r="4247" ht="34.200000000000003" customHeight="1" x14ac:dyDescent="0.3"/>
    <row r="4248" ht="22.8" customHeight="1" x14ac:dyDescent="0.3"/>
    <row r="4249" ht="34.200000000000003" customHeight="1" x14ac:dyDescent="0.3"/>
    <row r="4250" ht="34.200000000000003" customHeight="1" x14ac:dyDescent="0.3"/>
    <row r="4251" ht="22.8" customHeight="1" x14ac:dyDescent="0.3"/>
    <row r="4252" ht="34.200000000000003" customHeight="1" x14ac:dyDescent="0.3"/>
    <row r="4253" ht="22.8" customHeight="1" x14ac:dyDescent="0.3"/>
    <row r="4254" ht="22.8" customHeight="1" x14ac:dyDescent="0.3"/>
    <row r="4255" ht="34.200000000000003" customHeight="1" x14ac:dyDescent="0.3"/>
    <row r="4256" ht="34.200000000000003" customHeight="1" x14ac:dyDescent="0.3"/>
    <row r="4257" ht="34.200000000000003" customHeight="1" x14ac:dyDescent="0.3"/>
    <row r="4258" ht="68.400000000000006" customHeight="1" x14ac:dyDescent="0.3"/>
    <row r="4259" ht="34.200000000000003" customHeight="1" x14ac:dyDescent="0.3"/>
    <row r="4260" ht="68.400000000000006" customHeight="1" x14ac:dyDescent="0.3"/>
    <row r="4261" ht="34.200000000000003" customHeight="1" x14ac:dyDescent="0.3"/>
    <row r="4262" ht="22.8" customHeight="1" x14ac:dyDescent="0.3"/>
    <row r="4263" ht="22.8" customHeight="1" x14ac:dyDescent="0.3"/>
    <row r="4264" ht="22.8" customHeight="1" x14ac:dyDescent="0.3"/>
    <row r="4265" ht="22.8" customHeight="1" x14ac:dyDescent="0.3"/>
    <row r="4266" ht="34.200000000000003" customHeight="1" x14ac:dyDescent="0.3"/>
    <row r="4267" ht="34.200000000000003" customHeight="1" x14ac:dyDescent="0.3"/>
    <row r="4268" ht="45.6" customHeight="1" x14ac:dyDescent="0.3"/>
    <row r="4269" ht="22.8" customHeight="1" x14ac:dyDescent="0.3"/>
    <row r="4270" ht="22.8" customHeight="1" x14ac:dyDescent="0.3"/>
    <row r="4271" ht="57" customHeight="1" x14ac:dyDescent="0.3"/>
    <row r="4272" ht="34.200000000000003" customHeight="1" x14ac:dyDescent="0.3"/>
    <row r="4273" ht="57" customHeight="1" x14ac:dyDescent="0.3"/>
    <row r="4274" ht="34.200000000000003" customHeight="1" x14ac:dyDescent="0.3"/>
    <row r="4275" ht="45.6" customHeight="1" x14ac:dyDescent="0.3"/>
    <row r="4276" ht="34.200000000000003" customHeight="1" x14ac:dyDescent="0.3"/>
    <row r="4277" ht="45.6" customHeight="1" x14ac:dyDescent="0.3"/>
    <row r="4278" ht="34.200000000000003" customHeight="1" x14ac:dyDescent="0.3"/>
    <row r="4279" ht="34.200000000000003" customHeight="1" x14ac:dyDescent="0.3"/>
    <row r="4280" ht="22.8" customHeight="1" x14ac:dyDescent="0.3"/>
    <row r="4281" ht="34.200000000000003" customHeight="1" x14ac:dyDescent="0.3"/>
    <row r="4282" ht="34.200000000000003" customHeight="1" x14ac:dyDescent="0.3"/>
    <row r="4283" ht="45.6" customHeight="1" x14ac:dyDescent="0.3"/>
    <row r="4284" ht="45.6" customHeight="1" x14ac:dyDescent="0.3"/>
    <row r="4285" ht="45.6" customHeight="1" x14ac:dyDescent="0.3"/>
    <row r="4286" ht="45.6" customHeight="1" x14ac:dyDescent="0.3"/>
    <row r="4287" ht="45.6" customHeight="1" x14ac:dyDescent="0.3"/>
    <row r="4288" ht="22.8" customHeight="1" x14ac:dyDescent="0.3"/>
    <row r="4289" ht="34.200000000000003" customHeight="1" x14ac:dyDescent="0.3"/>
    <row r="4290" ht="45.6" customHeight="1" x14ac:dyDescent="0.3"/>
    <row r="4291" ht="34.200000000000003" customHeight="1" x14ac:dyDescent="0.3"/>
    <row r="4292" ht="45.6" customHeight="1" x14ac:dyDescent="0.3"/>
    <row r="4293" ht="57" customHeight="1" x14ac:dyDescent="0.3"/>
    <row r="4294" ht="34.200000000000003" customHeight="1" x14ac:dyDescent="0.3"/>
    <row r="4295" ht="34.200000000000003" customHeight="1" x14ac:dyDescent="0.3"/>
    <row r="4296" ht="22.8" customHeight="1" x14ac:dyDescent="0.3"/>
    <row r="4297" ht="34.200000000000003" customHeight="1" x14ac:dyDescent="0.3"/>
    <row r="4298" ht="22.8" customHeight="1" x14ac:dyDescent="0.3"/>
    <row r="4299" ht="45.6" customHeight="1" x14ac:dyDescent="0.3"/>
    <row r="4300" ht="22.8" customHeight="1" x14ac:dyDescent="0.3"/>
    <row r="4301" ht="22.8" customHeight="1" x14ac:dyDescent="0.3"/>
    <row r="4302" ht="22.8" customHeight="1" x14ac:dyDescent="0.3"/>
    <row r="4303" ht="22.8" customHeight="1" x14ac:dyDescent="0.3"/>
    <row r="4304" ht="34.200000000000003" customHeight="1" x14ac:dyDescent="0.3"/>
    <row r="4305" ht="34.200000000000003" customHeight="1" x14ac:dyDescent="0.3"/>
    <row r="4306" ht="22.8" customHeight="1" x14ac:dyDescent="0.3"/>
    <row r="4307" ht="34.200000000000003" customHeight="1" x14ac:dyDescent="0.3"/>
    <row r="4309" ht="22.8" customHeight="1" x14ac:dyDescent="0.3"/>
    <row r="4310" ht="34.200000000000003" customHeight="1" x14ac:dyDescent="0.3"/>
    <row r="4311" ht="22.8" customHeight="1" x14ac:dyDescent="0.3"/>
    <row r="4313" ht="34.200000000000003" customHeight="1" x14ac:dyDescent="0.3"/>
    <row r="4314" ht="45.6" customHeight="1" x14ac:dyDescent="0.3"/>
    <row r="4315" ht="68.400000000000006" customHeight="1" x14ac:dyDescent="0.3"/>
    <row r="4316" ht="22.8" customHeight="1" x14ac:dyDescent="0.3"/>
    <row r="4317" ht="22.8" customHeight="1" x14ac:dyDescent="0.3"/>
    <row r="4318" ht="57" customHeight="1" x14ac:dyDescent="0.3"/>
    <row r="4319" ht="57" customHeight="1" x14ac:dyDescent="0.3"/>
    <row r="4320" ht="34.200000000000003" customHeight="1" x14ac:dyDescent="0.3"/>
    <row r="4321" ht="34.200000000000003" customHeight="1" x14ac:dyDescent="0.3"/>
    <row r="4322" ht="34.200000000000003" customHeight="1" x14ac:dyDescent="0.3"/>
    <row r="4323" ht="34.200000000000003" customHeight="1" x14ac:dyDescent="0.3"/>
    <row r="4324" ht="34.200000000000003" customHeight="1" x14ac:dyDescent="0.3"/>
    <row r="4325" ht="22.8" customHeight="1" x14ac:dyDescent="0.3"/>
    <row r="4327" ht="22.8" customHeight="1" x14ac:dyDescent="0.3"/>
    <row r="4329" ht="22.8" customHeight="1" x14ac:dyDescent="0.3"/>
    <row r="4330" ht="22.8" customHeight="1" x14ac:dyDescent="0.3"/>
    <row r="4331" ht="22.8" customHeight="1" x14ac:dyDescent="0.3"/>
    <row r="4332" ht="22.8" customHeight="1" x14ac:dyDescent="0.3"/>
    <row r="4333" ht="22.8" customHeight="1" x14ac:dyDescent="0.3"/>
    <row r="4334" ht="22.8" customHeight="1" x14ac:dyDescent="0.3"/>
    <row r="4335" ht="22.8" customHeight="1" x14ac:dyDescent="0.3"/>
    <row r="4336" ht="22.8" customHeight="1" x14ac:dyDescent="0.3"/>
    <row r="4337" ht="22.8" customHeight="1" x14ac:dyDescent="0.3"/>
    <row r="4338" ht="57" customHeight="1" x14ac:dyDescent="0.3"/>
    <row r="4339" ht="22.8" customHeight="1" x14ac:dyDescent="0.3"/>
    <row r="4340" ht="22.8" customHeight="1" x14ac:dyDescent="0.3"/>
    <row r="4341" ht="22.8" customHeight="1" x14ac:dyDescent="0.3"/>
    <row r="4342" ht="22.8" customHeight="1" x14ac:dyDescent="0.3"/>
    <row r="4343" ht="22.8" customHeight="1" x14ac:dyDescent="0.3"/>
    <row r="4344" ht="22.8" customHeight="1" x14ac:dyDescent="0.3"/>
    <row r="4345" ht="22.8" customHeight="1" x14ac:dyDescent="0.3"/>
    <row r="4346" ht="34.200000000000003" customHeight="1" x14ac:dyDescent="0.3"/>
    <row r="4347" ht="22.8" customHeight="1" x14ac:dyDescent="0.3"/>
    <row r="4348" ht="22.8" customHeight="1" x14ac:dyDescent="0.3"/>
    <row r="4349" ht="22.8" customHeight="1" x14ac:dyDescent="0.3"/>
    <row r="4350" ht="22.8" customHeight="1" x14ac:dyDescent="0.3"/>
    <row r="4351" ht="22.8" customHeight="1" x14ac:dyDescent="0.3"/>
    <row r="4352" ht="34.200000000000003" customHeight="1" x14ac:dyDescent="0.3"/>
    <row r="4353" ht="22.8" customHeight="1" x14ac:dyDescent="0.3"/>
    <row r="4354" ht="22.8" customHeight="1" x14ac:dyDescent="0.3"/>
    <row r="4355" ht="22.8" customHeight="1" x14ac:dyDescent="0.3"/>
    <row r="4356" ht="22.8" customHeight="1" x14ac:dyDescent="0.3"/>
    <row r="4357" ht="22.8" customHeight="1" x14ac:dyDescent="0.3"/>
    <row r="4358" ht="22.8" customHeight="1" x14ac:dyDescent="0.3"/>
    <row r="4359" ht="79.8" customHeight="1" x14ac:dyDescent="0.3"/>
    <row r="4360" ht="34.200000000000003" customHeight="1" x14ac:dyDescent="0.3"/>
    <row r="4361" ht="22.8" customHeight="1" x14ac:dyDescent="0.3"/>
    <row r="4362" ht="22.8" customHeight="1" x14ac:dyDescent="0.3"/>
    <row r="4363" ht="22.8" customHeight="1" x14ac:dyDescent="0.3"/>
    <row r="4364" ht="45.6" customHeight="1" x14ac:dyDescent="0.3"/>
    <row r="4365" ht="34.200000000000003" customHeight="1" x14ac:dyDescent="0.3"/>
    <row r="4366" ht="22.8" customHeight="1" x14ac:dyDescent="0.3"/>
    <row r="4367" ht="22.8" customHeight="1" x14ac:dyDescent="0.3"/>
    <row r="4368" ht="34.200000000000003" customHeight="1" x14ac:dyDescent="0.3"/>
    <row r="4369" ht="34.200000000000003" customHeight="1" x14ac:dyDescent="0.3"/>
    <row r="4370" ht="34.200000000000003" customHeight="1" x14ac:dyDescent="0.3"/>
    <row r="4371" ht="22.8" customHeight="1" x14ac:dyDescent="0.3"/>
    <row r="4372" ht="34.200000000000003" customHeight="1" x14ac:dyDescent="0.3"/>
    <row r="4373" ht="22.8" customHeight="1" x14ac:dyDescent="0.3"/>
    <row r="4374" ht="34.200000000000003" customHeight="1" x14ac:dyDescent="0.3"/>
    <row r="4375" ht="34.200000000000003" customHeight="1" x14ac:dyDescent="0.3"/>
    <row r="4376" ht="34.200000000000003" customHeight="1" x14ac:dyDescent="0.3"/>
    <row r="4377" ht="34.200000000000003" customHeight="1" x14ac:dyDescent="0.3"/>
    <row r="4378" ht="22.8" customHeight="1" x14ac:dyDescent="0.3"/>
    <row r="4379" ht="22.8" customHeight="1" x14ac:dyDescent="0.3"/>
    <row r="4380" ht="22.8" customHeight="1" x14ac:dyDescent="0.3"/>
    <row r="4381" ht="34.200000000000003" customHeight="1" x14ac:dyDescent="0.3"/>
    <row r="4382" ht="45.6" customHeight="1" x14ac:dyDescent="0.3"/>
    <row r="4383" ht="57" customHeight="1" x14ac:dyDescent="0.3"/>
    <row r="4384" ht="57" customHeight="1" x14ac:dyDescent="0.3"/>
    <row r="4385" ht="68.400000000000006" customHeight="1" x14ac:dyDescent="0.3"/>
    <row r="4386" ht="22.8" customHeight="1" x14ac:dyDescent="0.3"/>
    <row r="4387" ht="45.6" customHeight="1" x14ac:dyDescent="0.3"/>
    <row r="4388" ht="22.8" customHeight="1" x14ac:dyDescent="0.3"/>
    <row r="4389" ht="22.8" customHeight="1" x14ac:dyDescent="0.3"/>
    <row r="4390" ht="34.200000000000003" customHeight="1" x14ac:dyDescent="0.3"/>
    <row r="4392" ht="22.8" customHeight="1" x14ac:dyDescent="0.3"/>
    <row r="4396" ht="45.6" customHeight="1" x14ac:dyDescent="0.3"/>
    <row r="4397" ht="34.200000000000003" customHeight="1" x14ac:dyDescent="0.3"/>
    <row r="4399" ht="34.200000000000003" customHeight="1" x14ac:dyDescent="0.3"/>
    <row r="4400" ht="22.8" customHeight="1" x14ac:dyDescent="0.3"/>
    <row r="4401" ht="45.6" customHeight="1" x14ac:dyDescent="0.3"/>
    <row r="4403" ht="22.8" customHeight="1" x14ac:dyDescent="0.3"/>
    <row r="4404" ht="22.8" customHeight="1" x14ac:dyDescent="0.3"/>
    <row r="4405" ht="34.200000000000003" customHeight="1" x14ac:dyDescent="0.3"/>
    <row r="4406" ht="22.8" customHeight="1" x14ac:dyDescent="0.3"/>
    <row r="4407" ht="34.200000000000003" customHeight="1" x14ac:dyDescent="0.3"/>
    <row r="4408" ht="22.8" customHeight="1" x14ac:dyDescent="0.3"/>
    <row r="4409" ht="22.8" customHeight="1" x14ac:dyDescent="0.3"/>
    <row r="4411" ht="22.8" customHeight="1" x14ac:dyDescent="0.3"/>
    <row r="4412" ht="68.400000000000006" customHeight="1" x14ac:dyDescent="0.3"/>
    <row r="4413" ht="34.200000000000003" customHeight="1" x14ac:dyDescent="0.3"/>
    <row r="4414" ht="45.6" customHeight="1" x14ac:dyDescent="0.3"/>
    <row r="4416" ht="22.8" customHeight="1" x14ac:dyDescent="0.3"/>
    <row r="4417" ht="34.200000000000003" customHeight="1" x14ac:dyDescent="0.3"/>
    <row r="4418" ht="22.8" customHeight="1" x14ac:dyDescent="0.3"/>
    <row r="4419" ht="22.8" customHeight="1" x14ac:dyDescent="0.3"/>
    <row r="4420" ht="22.8" customHeight="1" x14ac:dyDescent="0.3"/>
    <row r="4421" ht="34.200000000000003" customHeight="1" x14ac:dyDescent="0.3"/>
    <row r="4422" ht="45.6" customHeight="1" x14ac:dyDescent="0.3"/>
    <row r="4423" ht="22.8" customHeight="1" x14ac:dyDescent="0.3"/>
    <row r="4424" ht="22.8" customHeight="1" x14ac:dyDescent="0.3"/>
    <row r="4425" ht="34.200000000000003" customHeight="1" x14ac:dyDescent="0.3"/>
    <row r="4426" ht="22.8" customHeight="1" x14ac:dyDescent="0.3"/>
    <row r="4427" ht="22.8" customHeight="1" x14ac:dyDescent="0.3"/>
    <row r="4428" ht="22.8" customHeight="1" x14ac:dyDescent="0.3"/>
    <row r="4429" ht="22.8" customHeight="1" x14ac:dyDescent="0.3"/>
    <row r="4430" ht="22.8" customHeight="1" x14ac:dyDescent="0.3"/>
    <row r="4431" ht="22.8" customHeight="1" x14ac:dyDescent="0.3"/>
    <row r="4432" ht="22.8" customHeight="1" x14ac:dyDescent="0.3"/>
    <row r="4433" ht="22.8" customHeight="1" x14ac:dyDescent="0.3"/>
    <row r="4434" ht="22.8" customHeight="1" x14ac:dyDescent="0.3"/>
    <row r="4435" ht="34.200000000000003" customHeight="1" x14ac:dyDescent="0.3"/>
    <row r="4437" ht="34.200000000000003" customHeight="1" x14ac:dyDescent="0.3"/>
    <row r="4438" ht="79.8" customHeight="1" x14ac:dyDescent="0.3"/>
    <row r="4439" ht="22.8" customHeight="1" x14ac:dyDescent="0.3"/>
    <row r="4440" ht="34.200000000000003" customHeight="1" x14ac:dyDescent="0.3"/>
    <row r="4441" ht="22.8" customHeight="1" x14ac:dyDescent="0.3"/>
    <row r="4442" ht="22.8" customHeight="1" x14ac:dyDescent="0.3"/>
    <row r="4443" ht="34.200000000000003" customHeight="1" x14ac:dyDescent="0.3"/>
    <row r="4444" ht="45.6" customHeight="1" x14ac:dyDescent="0.3"/>
    <row r="4446" ht="22.8" customHeight="1" x14ac:dyDescent="0.3"/>
    <row r="4447" ht="22.8" customHeight="1" x14ac:dyDescent="0.3"/>
    <row r="4449" ht="22.8" customHeight="1" x14ac:dyDescent="0.3"/>
    <row r="4451" ht="45.6" customHeight="1" x14ac:dyDescent="0.3"/>
    <row r="4452" ht="57" customHeight="1" x14ac:dyDescent="0.3"/>
    <row r="4453" ht="57" customHeight="1" x14ac:dyDescent="0.3"/>
    <row r="4455" ht="45.6" customHeight="1" x14ac:dyDescent="0.3"/>
    <row r="4457" ht="45.6" customHeight="1" x14ac:dyDescent="0.3"/>
    <row r="4458" ht="68.400000000000006" customHeight="1" x14ac:dyDescent="0.3"/>
    <row r="4459" ht="22.8" customHeight="1" x14ac:dyDescent="0.3"/>
    <row r="4461" ht="45.6" customHeight="1" x14ac:dyDescent="0.3"/>
    <row r="4462" ht="22.8" customHeight="1" x14ac:dyDescent="0.3"/>
    <row r="4463" ht="45.6" customHeight="1" x14ac:dyDescent="0.3"/>
    <row r="4464" ht="22.8" customHeight="1" x14ac:dyDescent="0.3"/>
    <row r="4465" ht="34.200000000000003" customHeight="1" x14ac:dyDescent="0.3"/>
    <row r="4466" ht="45.6" customHeight="1" x14ac:dyDescent="0.3"/>
    <row r="4467" ht="34.200000000000003" customHeight="1" x14ac:dyDescent="0.3"/>
    <row r="4469" ht="22.8" customHeight="1" x14ac:dyDescent="0.3"/>
    <row r="4470" ht="22.8" customHeight="1" x14ac:dyDescent="0.3"/>
    <row r="4471" ht="22.8" customHeight="1" x14ac:dyDescent="0.3"/>
    <row r="4474" ht="22.8" customHeight="1" x14ac:dyDescent="0.3"/>
    <row r="4475" ht="45.6" customHeight="1" x14ac:dyDescent="0.3"/>
    <row r="4476" ht="45.6" customHeight="1" x14ac:dyDescent="0.3"/>
    <row r="4477" ht="57" customHeight="1" x14ac:dyDescent="0.3"/>
    <row r="4478" ht="45.6" customHeight="1" x14ac:dyDescent="0.3"/>
    <row r="4480" ht="45.6" customHeight="1" x14ac:dyDescent="0.3"/>
    <row r="4481" ht="57" customHeight="1" x14ac:dyDescent="0.3"/>
    <row r="4482" ht="45.6" customHeight="1" x14ac:dyDescent="0.3"/>
    <row r="4483" ht="22.8" customHeight="1" x14ac:dyDescent="0.3"/>
    <row r="4484" ht="45.6" customHeight="1" x14ac:dyDescent="0.3"/>
    <row r="4485" ht="22.8" customHeight="1" x14ac:dyDescent="0.3"/>
    <row r="4486" ht="45.6" customHeight="1" x14ac:dyDescent="0.3"/>
    <row r="4487" ht="57" customHeight="1" x14ac:dyDescent="0.3"/>
    <row r="4488" ht="45.6" customHeight="1" x14ac:dyDescent="0.3"/>
    <row r="4490" ht="34.200000000000003" customHeight="1" x14ac:dyDescent="0.3"/>
    <row r="4491" ht="34.200000000000003" customHeight="1" x14ac:dyDescent="0.3"/>
    <row r="4492" ht="45.6" customHeight="1" x14ac:dyDescent="0.3"/>
    <row r="4493" ht="45.6" customHeight="1" x14ac:dyDescent="0.3"/>
    <row r="4494" ht="45.6" customHeight="1" x14ac:dyDescent="0.3"/>
    <row r="4495" ht="34.200000000000003" customHeight="1" x14ac:dyDescent="0.3"/>
    <row r="4496" ht="57" customHeight="1" x14ac:dyDescent="0.3"/>
    <row r="4497" ht="45.6" customHeight="1" x14ac:dyDescent="0.3"/>
    <row r="4498" ht="34.200000000000003" customHeight="1" x14ac:dyDescent="0.3"/>
    <row r="4499" ht="45.6" customHeight="1" x14ac:dyDescent="0.3"/>
    <row r="4500" ht="34.200000000000003" customHeight="1" x14ac:dyDescent="0.3"/>
    <row r="4501" ht="22.8" customHeight="1" x14ac:dyDescent="0.3"/>
    <row r="4502" ht="22.8" customHeight="1" x14ac:dyDescent="0.3"/>
    <row r="4503" ht="22.8" customHeight="1" x14ac:dyDescent="0.3"/>
    <row r="4504" ht="22.8" customHeight="1" x14ac:dyDescent="0.3"/>
    <row r="4505" ht="22.8" customHeight="1" x14ac:dyDescent="0.3"/>
    <row r="4506" ht="22.8" customHeight="1" x14ac:dyDescent="0.3"/>
    <row r="4508" ht="22.8" customHeight="1" x14ac:dyDescent="0.3"/>
    <row r="4509" ht="45.6" customHeight="1" x14ac:dyDescent="0.3"/>
    <row r="4510" ht="45.6" customHeight="1" x14ac:dyDescent="0.3"/>
    <row r="4511" ht="22.8" customHeight="1" x14ac:dyDescent="0.3"/>
    <row r="4512" ht="22.8" customHeight="1" x14ac:dyDescent="0.3"/>
    <row r="4513" ht="34.200000000000003" customHeight="1" x14ac:dyDescent="0.3"/>
    <row r="4514" ht="45.6" customHeight="1" x14ac:dyDescent="0.3"/>
    <row r="4515" ht="34.200000000000003" customHeight="1" x14ac:dyDescent="0.3"/>
    <row r="4516" ht="34.200000000000003" customHeight="1" x14ac:dyDescent="0.3"/>
    <row r="4517" ht="34.200000000000003" customHeight="1" x14ac:dyDescent="0.3"/>
    <row r="4518" ht="57" customHeight="1" x14ac:dyDescent="0.3"/>
    <row r="4519" ht="68.400000000000006" customHeight="1" x14ac:dyDescent="0.3"/>
    <row r="4520" ht="45.6" customHeight="1" x14ac:dyDescent="0.3"/>
    <row r="4521" ht="102.6" customHeight="1" x14ac:dyDescent="0.3"/>
    <row r="4522" ht="34.200000000000003" customHeight="1" x14ac:dyDescent="0.3"/>
    <row r="4523" ht="79.8" customHeight="1" x14ac:dyDescent="0.3"/>
    <row r="4524" ht="57" customHeight="1" x14ac:dyDescent="0.3"/>
    <row r="4525" ht="79.8" customHeight="1" x14ac:dyDescent="0.3"/>
    <row r="4526" ht="22.8" customHeight="1" x14ac:dyDescent="0.3"/>
    <row r="4527" ht="45.6" customHeight="1" x14ac:dyDescent="0.3"/>
    <row r="4528" ht="45.6" customHeight="1" x14ac:dyDescent="0.3"/>
    <row r="4529" ht="79.8" customHeight="1" x14ac:dyDescent="0.3"/>
    <row r="4530" ht="45.6" customHeight="1" x14ac:dyDescent="0.3"/>
    <row r="4531" ht="34.200000000000003" customHeight="1" x14ac:dyDescent="0.3"/>
    <row r="4532" ht="57" customHeight="1" x14ac:dyDescent="0.3"/>
    <row r="4533" ht="68.400000000000006" customHeight="1" x14ac:dyDescent="0.3"/>
    <row r="4534" ht="34.200000000000003" customHeight="1" x14ac:dyDescent="0.3"/>
    <row r="4535" ht="22.8" customHeight="1" x14ac:dyDescent="0.3"/>
    <row r="4536" ht="34.200000000000003" customHeight="1" x14ac:dyDescent="0.3"/>
    <row r="4537" ht="22.8" customHeight="1" x14ac:dyDescent="0.3"/>
    <row r="4538" ht="57" customHeight="1" x14ac:dyDescent="0.3"/>
    <row r="4539" ht="34.200000000000003" customHeight="1" x14ac:dyDescent="0.3"/>
    <row r="4540" ht="22.8" customHeight="1" x14ac:dyDescent="0.3"/>
    <row r="4541" ht="22.8" customHeight="1" x14ac:dyDescent="0.3"/>
    <row r="4542" ht="22.8" customHeight="1" x14ac:dyDescent="0.3"/>
    <row r="4543" ht="45.6" customHeight="1" x14ac:dyDescent="0.3"/>
    <row r="4544" ht="57" customHeight="1" x14ac:dyDescent="0.3"/>
    <row r="4545" ht="22.8" customHeight="1" x14ac:dyDescent="0.3"/>
    <row r="4546" ht="34.200000000000003" customHeight="1" x14ac:dyDescent="0.3"/>
    <row r="4547" ht="22.8" customHeight="1" x14ac:dyDescent="0.3"/>
    <row r="4548" ht="22.8" customHeight="1" x14ac:dyDescent="0.3"/>
    <row r="4549" ht="68.400000000000006" customHeight="1" x14ac:dyDescent="0.3"/>
    <row r="4550" ht="34.200000000000003" customHeight="1" x14ac:dyDescent="0.3"/>
    <row r="4551" ht="57" customHeight="1" x14ac:dyDescent="0.3"/>
    <row r="4552" ht="79.8" customHeight="1" x14ac:dyDescent="0.3"/>
    <row r="4554" ht="45.6" customHeight="1" x14ac:dyDescent="0.3"/>
    <row r="4555" ht="22.8" customHeight="1" x14ac:dyDescent="0.3"/>
    <row r="4556" ht="34.200000000000003" customHeight="1" x14ac:dyDescent="0.3"/>
    <row r="4558" ht="22.8" customHeight="1" x14ac:dyDescent="0.3"/>
    <row r="4559" ht="34.200000000000003" customHeight="1" x14ac:dyDescent="0.3"/>
    <row r="4560" ht="34.200000000000003" customHeight="1" x14ac:dyDescent="0.3"/>
    <row r="4561" ht="34.200000000000003" customHeight="1" x14ac:dyDescent="0.3"/>
    <row r="4563" ht="34.200000000000003" customHeight="1" x14ac:dyDescent="0.3"/>
    <row r="4564" ht="22.8" customHeight="1" x14ac:dyDescent="0.3"/>
    <row r="4565" ht="45.6" customHeight="1" x14ac:dyDescent="0.3"/>
    <row r="4566" ht="34.200000000000003" customHeight="1" x14ac:dyDescent="0.3"/>
    <row r="4567" ht="22.8" customHeight="1" x14ac:dyDescent="0.3"/>
    <row r="4568" ht="22.8" customHeight="1" x14ac:dyDescent="0.3"/>
    <row r="4569" ht="57" customHeight="1" x14ac:dyDescent="0.3"/>
    <row r="4570" ht="91.2" customHeight="1" x14ac:dyDescent="0.3"/>
    <row r="4571" ht="57" customHeight="1" x14ac:dyDescent="0.3"/>
    <row r="4572" ht="45.6" customHeight="1" x14ac:dyDescent="0.3"/>
    <row r="4573" ht="22.8" customHeight="1" x14ac:dyDescent="0.3"/>
    <row r="4575" ht="22.8" customHeight="1" x14ac:dyDescent="0.3"/>
    <row r="4576" ht="57" customHeight="1" x14ac:dyDescent="0.3"/>
    <row r="4577" ht="22.8" customHeight="1" x14ac:dyDescent="0.3"/>
    <row r="4578" ht="57" customHeight="1" x14ac:dyDescent="0.3"/>
    <row r="4579" ht="45.6" customHeight="1" x14ac:dyDescent="0.3"/>
    <row r="4580" ht="57" customHeight="1" x14ac:dyDescent="0.3"/>
    <row r="4581" ht="45.6" customHeight="1" x14ac:dyDescent="0.3"/>
    <row r="4582" ht="34.200000000000003" customHeight="1" x14ac:dyDescent="0.3"/>
    <row r="4583" ht="57" customHeight="1" x14ac:dyDescent="0.3"/>
    <row r="4584" ht="34.200000000000003" customHeight="1" x14ac:dyDescent="0.3"/>
    <row r="4585" ht="22.8" customHeight="1" x14ac:dyDescent="0.3"/>
    <row r="4586" ht="34.200000000000003" customHeight="1" x14ac:dyDescent="0.3"/>
    <row r="4587" ht="45.6" customHeight="1" x14ac:dyDescent="0.3"/>
    <row r="4588" ht="45.6" customHeight="1" x14ac:dyDescent="0.3"/>
    <row r="4589" ht="57" customHeight="1" x14ac:dyDescent="0.3"/>
    <row r="4590" ht="34.200000000000003" customHeight="1" x14ac:dyDescent="0.3"/>
    <row r="4591" ht="45.6" customHeight="1" x14ac:dyDescent="0.3"/>
    <row r="4592" ht="45.6" customHeight="1" x14ac:dyDescent="0.3"/>
    <row r="4593" ht="45.6" customHeight="1" x14ac:dyDescent="0.3"/>
    <row r="4594" ht="34.200000000000003" customHeight="1" x14ac:dyDescent="0.3"/>
    <row r="4595" ht="34.200000000000003" customHeight="1" x14ac:dyDescent="0.3"/>
    <row r="4596" ht="57" customHeight="1" x14ac:dyDescent="0.3"/>
    <row r="4597" ht="22.8" customHeight="1" x14ac:dyDescent="0.3"/>
    <row r="4598" ht="57" customHeight="1" x14ac:dyDescent="0.3"/>
    <row r="4599" ht="57" customHeight="1" x14ac:dyDescent="0.3"/>
    <row r="4600" ht="45.6" customHeight="1" x14ac:dyDescent="0.3"/>
    <row r="4601" ht="68.400000000000006" customHeight="1" x14ac:dyDescent="0.3"/>
    <row r="4602" ht="45.6" customHeight="1" x14ac:dyDescent="0.3"/>
    <row r="4604" ht="22.8" customHeight="1" x14ac:dyDescent="0.3"/>
    <row r="4605" ht="45.6" customHeight="1" x14ac:dyDescent="0.3"/>
    <row r="4606" ht="45.6" customHeight="1" x14ac:dyDescent="0.3"/>
    <row r="4607" ht="34.200000000000003" customHeight="1" x14ac:dyDescent="0.3"/>
    <row r="4608" ht="45.6" customHeight="1" x14ac:dyDescent="0.3"/>
    <row r="4609" ht="68.400000000000006" customHeight="1" x14ac:dyDescent="0.3"/>
    <row r="4610" ht="45.6" customHeight="1" x14ac:dyDescent="0.3"/>
    <row r="4611" ht="45.6" customHeight="1" x14ac:dyDescent="0.3"/>
    <row r="4612" ht="45.6" customHeight="1" x14ac:dyDescent="0.3"/>
    <row r="4613" ht="45.6" customHeight="1" x14ac:dyDescent="0.3"/>
    <row r="4614" ht="22.8" customHeight="1" x14ac:dyDescent="0.3"/>
    <row r="4615" ht="22.8" customHeight="1" x14ac:dyDescent="0.3"/>
    <row r="4616" ht="22.8" customHeight="1" x14ac:dyDescent="0.3"/>
    <row r="4617" ht="22.8" customHeight="1" x14ac:dyDescent="0.3"/>
    <row r="4618" ht="57" customHeight="1" x14ac:dyDescent="0.3"/>
    <row r="4619" ht="57" customHeight="1" x14ac:dyDescent="0.3"/>
    <row r="4620" ht="34.200000000000003" customHeight="1" x14ac:dyDescent="0.3"/>
    <row r="4621" ht="34.200000000000003" customHeight="1" x14ac:dyDescent="0.3"/>
    <row r="4622" ht="34.200000000000003" customHeight="1" x14ac:dyDescent="0.3"/>
    <row r="4623" ht="34.200000000000003" customHeight="1" x14ac:dyDescent="0.3"/>
    <row r="4624" ht="22.8" customHeight="1" x14ac:dyDescent="0.3"/>
    <row r="4625" ht="34.200000000000003" customHeight="1" x14ac:dyDescent="0.3"/>
    <row r="4626" ht="34.200000000000003" customHeight="1" x14ac:dyDescent="0.3"/>
    <row r="4627" ht="34.200000000000003" customHeight="1" x14ac:dyDescent="0.3"/>
    <row r="4628" ht="34.200000000000003" customHeight="1" x14ac:dyDescent="0.3"/>
    <row r="4629" ht="57" customHeight="1" x14ac:dyDescent="0.3"/>
    <row r="4630" ht="34.200000000000003" customHeight="1" x14ac:dyDescent="0.3"/>
    <row r="4631" ht="22.8" customHeight="1" x14ac:dyDescent="0.3"/>
    <row r="4632" ht="34.200000000000003" customHeight="1" x14ac:dyDescent="0.3"/>
    <row r="4633" ht="22.8" customHeight="1" x14ac:dyDescent="0.3"/>
    <row r="4634" ht="22.8" customHeight="1" x14ac:dyDescent="0.3"/>
    <row r="4635" ht="22.8" customHeight="1" x14ac:dyDescent="0.3"/>
    <row r="4636" ht="34.200000000000003" customHeight="1" x14ac:dyDescent="0.3"/>
    <row r="4637" ht="34.200000000000003" customHeight="1" x14ac:dyDescent="0.3"/>
    <row r="4638" ht="34.200000000000003" customHeight="1" x14ac:dyDescent="0.3"/>
    <row r="4639" ht="34.200000000000003" customHeight="1" x14ac:dyDescent="0.3"/>
    <row r="4640" ht="45.6" customHeight="1" x14ac:dyDescent="0.3"/>
    <row r="4641" ht="45.6" customHeight="1" x14ac:dyDescent="0.3"/>
    <row r="4642" ht="45.6" customHeight="1" x14ac:dyDescent="0.3"/>
    <row r="4643" ht="45.6" customHeight="1" x14ac:dyDescent="0.3"/>
    <row r="4644" ht="34.200000000000003" customHeight="1" x14ac:dyDescent="0.3"/>
    <row r="4645" ht="45.6" customHeight="1" x14ac:dyDescent="0.3"/>
    <row r="4646" ht="22.8" customHeight="1" x14ac:dyDescent="0.3"/>
    <row r="4647" ht="34.200000000000003" customHeight="1" x14ac:dyDescent="0.3"/>
    <row r="4648" ht="34.200000000000003" customHeight="1" x14ac:dyDescent="0.3"/>
    <row r="4649" ht="45.6" customHeight="1" x14ac:dyDescent="0.3"/>
    <row r="4650" ht="45.6" customHeight="1" x14ac:dyDescent="0.3"/>
    <row r="4651" ht="68.400000000000006" customHeight="1" x14ac:dyDescent="0.3"/>
    <row r="4652" ht="45.6" customHeight="1" x14ac:dyDescent="0.3"/>
    <row r="4653" ht="22.8" customHeight="1" x14ac:dyDescent="0.3"/>
    <row r="4654" ht="34.200000000000003" customHeight="1" x14ac:dyDescent="0.3"/>
    <row r="4655" ht="22.8" customHeight="1" x14ac:dyDescent="0.3"/>
    <row r="4656" ht="45.6" customHeight="1" x14ac:dyDescent="0.3"/>
    <row r="4657" ht="22.8" customHeight="1" x14ac:dyDescent="0.3"/>
    <row r="4658" ht="34.200000000000003" customHeight="1" x14ac:dyDescent="0.3"/>
    <row r="4659" ht="34.200000000000003" customHeight="1" x14ac:dyDescent="0.3"/>
    <row r="4660" ht="45.6" customHeight="1" x14ac:dyDescent="0.3"/>
    <row r="4661" ht="45.6" customHeight="1" x14ac:dyDescent="0.3"/>
    <row r="4662" ht="45.6" customHeight="1" x14ac:dyDescent="0.3"/>
    <row r="4663" ht="45.6" customHeight="1" x14ac:dyDescent="0.3"/>
    <row r="4664" ht="68.400000000000006" customHeight="1" x14ac:dyDescent="0.3"/>
    <row r="4665" ht="45.6" customHeight="1" x14ac:dyDescent="0.3"/>
    <row r="4666" ht="34.200000000000003" customHeight="1" x14ac:dyDescent="0.3"/>
    <row r="4667" ht="22.8" customHeight="1" x14ac:dyDescent="0.3"/>
    <row r="4668" ht="22.8" customHeight="1" x14ac:dyDescent="0.3"/>
    <row r="4669" ht="22.8" customHeight="1" x14ac:dyDescent="0.3"/>
    <row r="4670" ht="68.400000000000006" customHeight="1" x14ac:dyDescent="0.3"/>
    <row r="4671" ht="45.6" customHeight="1" x14ac:dyDescent="0.3"/>
    <row r="4672" ht="34.200000000000003" customHeight="1" x14ac:dyDescent="0.3"/>
    <row r="4673" ht="45.6" customHeight="1" x14ac:dyDescent="0.3"/>
    <row r="4674" ht="45.6" customHeight="1" x14ac:dyDescent="0.3"/>
    <row r="4675" ht="22.8" customHeight="1" x14ac:dyDescent="0.3"/>
    <row r="4676" ht="45.6" customHeight="1" x14ac:dyDescent="0.3"/>
    <row r="4677" ht="45.6" customHeight="1" x14ac:dyDescent="0.3"/>
    <row r="4678" ht="45.6" customHeight="1" x14ac:dyDescent="0.3"/>
    <row r="4679" ht="45.6" customHeight="1" x14ac:dyDescent="0.3"/>
    <row r="4680" ht="57" customHeight="1" x14ac:dyDescent="0.3"/>
    <row r="4681" ht="34.200000000000003" customHeight="1" x14ac:dyDescent="0.3"/>
    <row r="4682" ht="45.6" customHeight="1" x14ac:dyDescent="0.3"/>
    <row r="4683" ht="57" customHeight="1" x14ac:dyDescent="0.3"/>
    <row r="4684" ht="45.6" customHeight="1" x14ac:dyDescent="0.3"/>
    <row r="4685" ht="45.6" customHeight="1" x14ac:dyDescent="0.3"/>
    <row r="4686" ht="34.200000000000003" customHeight="1" x14ac:dyDescent="0.3"/>
    <row r="4687" ht="34.200000000000003" customHeight="1" x14ac:dyDescent="0.3"/>
    <row r="4688" ht="45.6" customHeight="1" x14ac:dyDescent="0.3"/>
    <row r="4689" ht="45.6" customHeight="1" x14ac:dyDescent="0.3"/>
    <row r="4690" ht="45.6" customHeight="1" x14ac:dyDescent="0.3"/>
    <row r="4691" ht="22.8" customHeight="1" x14ac:dyDescent="0.3"/>
    <row r="4692" ht="57" customHeight="1" x14ac:dyDescent="0.3"/>
    <row r="4693" ht="34.200000000000003" customHeight="1" x14ac:dyDescent="0.3"/>
    <row r="4694" ht="34.200000000000003" customHeight="1" x14ac:dyDescent="0.3"/>
    <row r="4695" ht="68.400000000000006" customHeight="1" x14ac:dyDescent="0.3"/>
    <row r="4696" ht="34.200000000000003" customHeight="1" x14ac:dyDescent="0.3"/>
    <row r="4697" ht="34.200000000000003" customHeight="1" x14ac:dyDescent="0.3"/>
    <row r="4698" ht="34.200000000000003" customHeight="1" x14ac:dyDescent="0.3"/>
    <row r="4699" ht="22.8" customHeight="1" x14ac:dyDescent="0.3"/>
    <row r="4700" ht="22.8" customHeight="1" x14ac:dyDescent="0.3"/>
    <row r="4701" ht="34.200000000000003" customHeight="1" x14ac:dyDescent="0.3"/>
    <row r="4702" ht="34.200000000000003" customHeight="1" x14ac:dyDescent="0.3"/>
    <row r="4703" ht="22.8" customHeight="1" x14ac:dyDescent="0.3"/>
    <row r="4704" ht="22.8" customHeight="1" x14ac:dyDescent="0.3"/>
    <row r="4705" ht="45.6" customHeight="1" x14ac:dyDescent="0.3"/>
    <row r="4708" ht="22.8" customHeight="1" x14ac:dyDescent="0.3"/>
    <row r="4709" ht="34.200000000000003" customHeight="1" x14ac:dyDescent="0.3"/>
    <row r="4710" ht="22.8" customHeight="1" x14ac:dyDescent="0.3"/>
    <row r="4711" ht="34.200000000000003" customHeight="1" x14ac:dyDescent="0.3"/>
    <row r="4712" ht="34.200000000000003" customHeight="1" x14ac:dyDescent="0.3"/>
    <row r="4713" ht="45.6" customHeight="1" x14ac:dyDescent="0.3"/>
    <row r="4715" ht="34.200000000000003" customHeight="1" x14ac:dyDescent="0.3"/>
    <row r="4716" ht="45.6" customHeight="1" x14ac:dyDescent="0.3"/>
    <row r="4717" ht="22.8" customHeight="1" x14ac:dyDescent="0.3"/>
    <row r="4718" ht="34.200000000000003" customHeight="1" x14ac:dyDescent="0.3"/>
    <row r="4719" ht="22.8" customHeight="1" x14ac:dyDescent="0.3"/>
    <row r="4720" ht="57" customHeight="1" x14ac:dyDescent="0.3"/>
    <row r="4721" ht="45.6" customHeight="1" x14ac:dyDescent="0.3"/>
    <row r="4722" ht="45.6" customHeight="1" x14ac:dyDescent="0.3"/>
    <row r="4723" ht="45.6" customHeight="1" x14ac:dyDescent="0.3"/>
    <row r="4724" ht="22.8" customHeight="1" x14ac:dyDescent="0.3"/>
    <row r="4725" ht="22.8" customHeight="1" x14ac:dyDescent="0.3"/>
    <row r="4726" ht="34.200000000000003" customHeight="1" x14ac:dyDescent="0.3"/>
    <row r="4727" ht="34.200000000000003" customHeight="1" x14ac:dyDescent="0.3"/>
    <row r="4728" ht="34.200000000000003" customHeight="1" x14ac:dyDescent="0.3"/>
    <row r="4729" ht="34.200000000000003" customHeight="1" x14ac:dyDescent="0.3"/>
    <row r="4730" ht="34.200000000000003" customHeight="1" x14ac:dyDescent="0.3"/>
    <row r="4731" ht="22.8" customHeight="1" x14ac:dyDescent="0.3"/>
    <row r="4732" ht="22.8" customHeight="1" x14ac:dyDescent="0.3"/>
    <row r="4733" ht="22.8" customHeight="1" x14ac:dyDescent="0.3"/>
    <row r="4734" ht="34.200000000000003" customHeight="1" x14ac:dyDescent="0.3"/>
    <row r="4735" ht="34.200000000000003" customHeight="1" x14ac:dyDescent="0.3"/>
    <row r="4736" ht="34.200000000000003" customHeight="1" x14ac:dyDescent="0.3"/>
    <row r="4737" ht="34.200000000000003" customHeight="1" x14ac:dyDescent="0.3"/>
    <row r="4738" ht="34.200000000000003" customHeight="1" x14ac:dyDescent="0.3"/>
    <row r="4739" ht="22.8" customHeight="1" x14ac:dyDescent="0.3"/>
    <row r="4741" ht="34.200000000000003" customHeight="1" x14ac:dyDescent="0.3"/>
    <row r="4742" ht="22.8" customHeight="1" x14ac:dyDescent="0.3"/>
    <row r="4743" ht="22.8" customHeight="1" x14ac:dyDescent="0.3"/>
    <row r="4745" ht="34.200000000000003" customHeight="1" x14ac:dyDescent="0.3"/>
    <row r="4747" ht="45.6" customHeight="1" x14ac:dyDescent="0.3"/>
    <row r="4749" ht="22.8" customHeight="1" x14ac:dyDescent="0.3"/>
    <row r="4751" ht="34.200000000000003" customHeight="1" x14ac:dyDescent="0.3"/>
    <row r="4754" ht="22.8" customHeight="1" x14ac:dyDescent="0.3"/>
    <row r="4756" ht="79.8" customHeight="1" x14ac:dyDescent="0.3"/>
    <row r="4757" ht="34.200000000000003" customHeight="1" x14ac:dyDescent="0.3"/>
    <row r="4758" ht="22.8" customHeight="1" x14ac:dyDescent="0.3"/>
    <row r="4759" ht="22.8" customHeight="1" x14ac:dyDescent="0.3"/>
    <row r="4760" ht="34.200000000000003" customHeight="1" x14ac:dyDescent="0.3"/>
    <row r="4761" ht="22.8" customHeight="1" x14ac:dyDescent="0.3"/>
    <row r="4762" ht="22.8" customHeight="1" x14ac:dyDescent="0.3"/>
    <row r="4763" ht="45.6" customHeight="1" x14ac:dyDescent="0.3"/>
    <row r="4764" ht="22.8" customHeight="1" x14ac:dyDescent="0.3"/>
    <row r="4765" ht="34.200000000000003" customHeight="1" x14ac:dyDescent="0.3"/>
    <row r="4766" ht="22.8" customHeight="1" x14ac:dyDescent="0.3"/>
    <row r="4767" ht="34.200000000000003" customHeight="1" x14ac:dyDescent="0.3"/>
    <row r="4768" ht="22.8" customHeight="1" x14ac:dyDescent="0.3"/>
    <row r="4769" ht="22.8" customHeight="1" x14ac:dyDescent="0.3"/>
    <row r="4770" ht="34.200000000000003" customHeight="1" x14ac:dyDescent="0.3"/>
    <row r="4772" ht="22.8" customHeight="1" x14ac:dyDescent="0.3"/>
    <row r="4773" ht="22.8" customHeight="1" x14ac:dyDescent="0.3"/>
    <row r="4774" ht="34.200000000000003" customHeight="1" x14ac:dyDescent="0.3"/>
    <row r="4775" ht="22.8" customHeight="1" x14ac:dyDescent="0.3"/>
    <row r="4776" ht="22.8" customHeight="1" x14ac:dyDescent="0.3"/>
    <row r="4777" ht="34.200000000000003" customHeight="1" x14ac:dyDescent="0.3"/>
    <row r="4778" ht="22.8" customHeight="1" x14ac:dyDescent="0.3"/>
    <row r="4779" ht="22.8" customHeight="1" x14ac:dyDescent="0.3"/>
    <row r="4780" ht="45.6" customHeight="1" x14ac:dyDescent="0.3"/>
    <row r="4781" ht="45.6" customHeight="1" x14ac:dyDescent="0.3"/>
    <row r="4782" ht="22.8" customHeight="1" x14ac:dyDescent="0.3"/>
    <row r="4783" ht="22.8" customHeight="1" x14ac:dyDescent="0.3"/>
    <row r="4785" ht="22.8" customHeight="1" x14ac:dyDescent="0.3"/>
    <row r="4786" ht="22.8" customHeight="1" x14ac:dyDescent="0.3"/>
    <row r="4787" ht="34.200000000000003" customHeight="1" x14ac:dyDescent="0.3"/>
    <row r="4788" ht="22.8" customHeight="1" x14ac:dyDescent="0.3"/>
    <row r="4789" ht="22.8" customHeight="1" x14ac:dyDescent="0.3"/>
    <row r="4791" ht="34.200000000000003" customHeight="1" x14ac:dyDescent="0.3"/>
    <row r="4793" ht="45.6" customHeight="1" x14ac:dyDescent="0.3"/>
    <row r="4794" ht="57" customHeight="1" x14ac:dyDescent="0.3"/>
    <row r="4795" ht="22.8" customHeight="1" x14ac:dyDescent="0.3"/>
    <row r="4796" ht="22.8" customHeight="1" x14ac:dyDescent="0.3"/>
    <row r="4797" ht="22.8" customHeight="1" x14ac:dyDescent="0.3"/>
    <row r="4798" ht="22.8" customHeight="1" x14ac:dyDescent="0.3"/>
    <row r="4799" ht="22.8" customHeight="1" x14ac:dyDescent="0.3"/>
    <row r="4802" ht="22.8" customHeight="1" x14ac:dyDescent="0.3"/>
    <row r="4803" ht="45.6" customHeight="1" x14ac:dyDescent="0.3"/>
    <row r="4804" ht="45.6" customHeight="1" x14ac:dyDescent="0.3"/>
    <row r="4805" ht="34.200000000000003" customHeight="1" x14ac:dyDescent="0.3"/>
    <row r="4806" ht="22.8" customHeight="1" x14ac:dyDescent="0.3"/>
    <row r="4807" ht="34.200000000000003" customHeight="1" x14ac:dyDescent="0.3"/>
    <row r="4808" ht="22.8" customHeight="1" x14ac:dyDescent="0.3"/>
    <row r="4809" ht="22.8" customHeight="1" x14ac:dyDescent="0.3"/>
    <row r="4810" ht="34.200000000000003" customHeight="1" x14ac:dyDescent="0.3"/>
    <row r="4811" ht="34.200000000000003" customHeight="1" x14ac:dyDescent="0.3"/>
    <row r="4812" ht="22.8" customHeight="1" x14ac:dyDescent="0.3"/>
    <row r="4813" ht="22.8" customHeight="1" x14ac:dyDescent="0.3"/>
    <row r="4814" ht="34.200000000000003" customHeight="1" x14ac:dyDescent="0.3"/>
    <row r="4815" ht="34.200000000000003" customHeight="1" x14ac:dyDescent="0.3"/>
    <row r="4816" ht="22.8" customHeight="1" x14ac:dyDescent="0.3"/>
    <row r="4817" ht="45.6" customHeight="1" x14ac:dyDescent="0.3"/>
    <row r="4818" ht="45.6" customHeight="1" x14ac:dyDescent="0.3"/>
    <row r="4819" ht="45.6" customHeight="1" x14ac:dyDescent="0.3"/>
    <row r="4820" ht="57" customHeight="1" x14ac:dyDescent="0.3"/>
    <row r="4821" ht="45.6" customHeight="1" x14ac:dyDescent="0.3"/>
    <row r="4822" ht="45.6" customHeight="1" x14ac:dyDescent="0.3"/>
    <row r="4823" ht="34.200000000000003" customHeight="1" x14ac:dyDescent="0.3"/>
    <row r="4825" ht="22.8" customHeight="1" x14ac:dyDescent="0.3"/>
    <row r="4826" ht="34.200000000000003" customHeight="1" x14ac:dyDescent="0.3"/>
    <row r="4827" ht="34.200000000000003" customHeight="1" x14ac:dyDescent="0.3"/>
    <row r="4828" ht="22.8" customHeight="1" x14ac:dyDescent="0.3"/>
    <row r="4829" ht="45.6" customHeight="1" x14ac:dyDescent="0.3"/>
    <row r="4830" ht="34.200000000000003" customHeight="1" x14ac:dyDescent="0.3"/>
    <row r="4832" ht="22.8" customHeight="1" x14ac:dyDescent="0.3"/>
    <row r="4833" ht="22.8" customHeight="1" x14ac:dyDescent="0.3"/>
    <row r="4834" ht="22.8" customHeight="1" x14ac:dyDescent="0.3"/>
    <row r="4835" ht="22.8" customHeight="1" x14ac:dyDescent="0.3"/>
    <row r="4837" ht="34.200000000000003" customHeight="1" x14ac:dyDescent="0.3"/>
    <row r="4838" ht="22.8" customHeight="1" x14ac:dyDescent="0.3"/>
    <row r="4839" ht="34.200000000000003" customHeight="1" x14ac:dyDescent="0.3"/>
    <row r="4840" ht="22.8" customHeight="1" x14ac:dyDescent="0.3"/>
    <row r="4841" ht="22.8" customHeight="1" x14ac:dyDescent="0.3"/>
    <row r="4842" ht="22.8" customHeight="1" x14ac:dyDescent="0.3"/>
    <row r="4843" ht="22.8" customHeight="1" x14ac:dyDescent="0.3"/>
    <row r="4845" ht="34.200000000000003" customHeight="1" x14ac:dyDescent="0.3"/>
    <row r="4846" ht="22.8" customHeight="1" x14ac:dyDescent="0.3"/>
    <row r="4847" ht="22.8" customHeight="1" x14ac:dyDescent="0.3"/>
    <row r="4848" ht="22.8" customHeight="1" x14ac:dyDescent="0.3"/>
    <row r="4849" ht="34.200000000000003" customHeight="1" x14ac:dyDescent="0.3"/>
    <row r="4850" ht="34.200000000000003" customHeight="1" x14ac:dyDescent="0.3"/>
    <row r="4851" ht="34.200000000000003" customHeight="1" x14ac:dyDescent="0.3"/>
    <row r="4852" ht="22.8" customHeight="1" x14ac:dyDescent="0.3"/>
    <row r="4853" ht="45.6" customHeight="1" x14ac:dyDescent="0.3"/>
    <row r="4854" ht="45.6" customHeight="1" x14ac:dyDescent="0.3"/>
    <row r="4855" ht="45.6" customHeight="1" x14ac:dyDescent="0.3"/>
    <row r="4856" ht="45.6" customHeight="1" x14ac:dyDescent="0.3"/>
    <row r="4857" ht="22.8" customHeight="1" x14ac:dyDescent="0.3"/>
    <row r="4858" ht="22.8" customHeight="1" x14ac:dyDescent="0.3"/>
    <row r="4859" ht="34.200000000000003" customHeight="1" x14ac:dyDescent="0.3"/>
    <row r="4860" ht="34.200000000000003" customHeight="1" x14ac:dyDescent="0.3"/>
    <row r="4861" ht="34.200000000000003" customHeight="1" x14ac:dyDescent="0.3"/>
    <row r="4862" ht="34.200000000000003" customHeight="1" x14ac:dyDescent="0.3"/>
    <row r="4863" ht="34.200000000000003" customHeight="1" x14ac:dyDescent="0.3"/>
    <row r="4864" ht="34.200000000000003" customHeight="1" x14ac:dyDescent="0.3"/>
    <row r="4865" ht="22.8" customHeight="1" x14ac:dyDescent="0.3"/>
    <row r="4866" ht="22.8" customHeight="1" x14ac:dyDescent="0.3"/>
    <row r="4867" ht="22.8" customHeight="1" x14ac:dyDescent="0.3"/>
    <row r="4868" ht="34.200000000000003" customHeight="1" x14ac:dyDescent="0.3"/>
    <row r="4869" ht="22.8" customHeight="1" x14ac:dyDescent="0.3"/>
    <row r="4871" ht="22.8" customHeight="1" x14ac:dyDescent="0.3"/>
    <row r="4872" ht="34.200000000000003" customHeight="1" x14ac:dyDescent="0.3"/>
    <row r="4873" ht="22.8" customHeight="1" x14ac:dyDescent="0.3"/>
    <row r="4874" ht="22.8" customHeight="1" x14ac:dyDescent="0.3"/>
    <row r="4875" ht="34.200000000000003" customHeight="1" x14ac:dyDescent="0.3"/>
    <row r="4876" ht="22.8" customHeight="1" x14ac:dyDescent="0.3"/>
    <row r="4878" ht="22.8" customHeight="1" x14ac:dyDescent="0.3"/>
    <row r="4879" ht="34.200000000000003" customHeight="1" x14ac:dyDescent="0.3"/>
    <row r="4880" ht="22.8" customHeight="1" x14ac:dyDescent="0.3"/>
    <row r="4881" ht="22.8" customHeight="1" x14ac:dyDescent="0.3"/>
    <row r="4882" ht="22.8" customHeight="1" x14ac:dyDescent="0.3"/>
    <row r="4883" ht="22.8" customHeight="1" x14ac:dyDescent="0.3"/>
  </sheetData>
  <sortState ref="A4:M24">
    <sortCondition descending="1" ref="M4:M24"/>
  </sortState>
  <mergeCells count="4">
    <mergeCell ref="A1:M1"/>
    <mergeCell ref="B2:K2"/>
    <mergeCell ref="L2:M2"/>
    <mergeCell ref="AD2:AQ4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/>
  </sheetPr>
  <dimension ref="A1:H256"/>
  <sheetViews>
    <sheetView workbookViewId="0">
      <selection activeCell="G73" sqref="G73"/>
    </sheetView>
  </sheetViews>
  <sheetFormatPr defaultRowHeight="14.4" x14ac:dyDescent="0.3"/>
  <cols>
    <col min="1" max="1" width="30" customWidth="1"/>
    <col min="4" max="4" width="9.44140625" customWidth="1"/>
    <col min="5" max="5" width="9.21875" customWidth="1"/>
    <col min="6" max="6" width="19.6640625" customWidth="1"/>
    <col min="8" max="8" width="35.21875" customWidth="1"/>
  </cols>
  <sheetData>
    <row r="1" spans="1:8" ht="24.75" customHeight="1" x14ac:dyDescent="0.3">
      <c r="A1" s="392" t="s">
        <v>241</v>
      </c>
      <c r="B1" s="392"/>
      <c r="C1" s="392"/>
      <c r="D1" s="392"/>
      <c r="E1" s="392"/>
    </row>
    <row r="2" spans="1:8" ht="22.5" customHeight="1" x14ac:dyDescent="0.3">
      <c r="A2" s="393" t="s">
        <v>0</v>
      </c>
      <c r="B2" s="393" t="s">
        <v>22</v>
      </c>
      <c r="C2" s="393"/>
      <c r="D2" s="393"/>
      <c r="E2" s="393"/>
    </row>
    <row r="3" spans="1:8" ht="31.5" customHeight="1" x14ac:dyDescent="0.3">
      <c r="A3" s="394"/>
      <c r="B3" s="156" t="s">
        <v>23</v>
      </c>
      <c r="C3" s="156" t="s">
        <v>24</v>
      </c>
      <c r="D3" s="156" t="s">
        <v>25</v>
      </c>
      <c r="E3" s="156" t="s">
        <v>18</v>
      </c>
    </row>
    <row r="4" spans="1:8" ht="18" customHeight="1" x14ac:dyDescent="0.3">
      <c r="A4" s="157" t="s">
        <v>7</v>
      </c>
      <c r="B4" s="158">
        <v>8</v>
      </c>
      <c r="C4" s="158">
        <v>0</v>
      </c>
      <c r="D4" s="158">
        <v>45</v>
      </c>
      <c r="E4" s="155">
        <v>53</v>
      </c>
      <c r="H4" s="121"/>
    </row>
    <row r="5" spans="1:8" ht="18" customHeight="1" x14ac:dyDescent="0.3">
      <c r="A5" s="157" t="s">
        <v>67</v>
      </c>
      <c r="B5" s="158">
        <v>4</v>
      </c>
      <c r="C5" s="158">
        <v>19</v>
      </c>
      <c r="D5" s="158">
        <v>26</v>
      </c>
      <c r="E5" s="155">
        <v>49</v>
      </c>
      <c r="H5" s="122"/>
    </row>
    <row r="6" spans="1:8" ht="18" customHeight="1" x14ac:dyDescent="0.3">
      <c r="A6" s="157" t="s">
        <v>78</v>
      </c>
      <c r="B6" s="158">
        <v>27</v>
      </c>
      <c r="C6" s="158">
        <v>1</v>
      </c>
      <c r="D6" s="158">
        <v>20</v>
      </c>
      <c r="E6" s="155">
        <v>48</v>
      </c>
      <c r="H6" s="122"/>
    </row>
    <row r="7" spans="1:8" ht="18" customHeight="1" x14ac:dyDescent="0.3">
      <c r="A7" s="157" t="s">
        <v>89</v>
      </c>
      <c r="B7" s="158">
        <v>9</v>
      </c>
      <c r="C7" s="158">
        <v>0</v>
      </c>
      <c r="D7" s="158">
        <v>38</v>
      </c>
      <c r="E7" s="155">
        <v>47</v>
      </c>
      <c r="H7" s="122"/>
    </row>
    <row r="8" spans="1:8" ht="18" customHeight="1" x14ac:dyDescent="0.3">
      <c r="A8" s="157" t="s">
        <v>171</v>
      </c>
      <c r="B8" s="158">
        <v>15</v>
      </c>
      <c r="C8" s="158">
        <v>0</v>
      </c>
      <c r="D8" s="158">
        <v>26</v>
      </c>
      <c r="E8" s="155">
        <v>41</v>
      </c>
      <c r="H8" s="122"/>
    </row>
    <row r="9" spans="1:8" ht="18" customHeight="1" x14ac:dyDescent="0.3">
      <c r="A9" s="157" t="s">
        <v>83</v>
      </c>
      <c r="B9" s="158">
        <v>2</v>
      </c>
      <c r="C9" s="158">
        <v>1</v>
      </c>
      <c r="D9" s="158">
        <v>36</v>
      </c>
      <c r="E9" s="155">
        <v>39</v>
      </c>
      <c r="H9" s="122"/>
    </row>
    <row r="10" spans="1:8" ht="18" customHeight="1" x14ac:dyDescent="0.3">
      <c r="A10" s="157" t="s">
        <v>79</v>
      </c>
      <c r="B10" s="158">
        <v>16</v>
      </c>
      <c r="C10" s="158">
        <v>2</v>
      </c>
      <c r="D10" s="158">
        <v>13</v>
      </c>
      <c r="E10" s="155">
        <v>31</v>
      </c>
      <c r="H10" s="122"/>
    </row>
    <row r="11" spans="1:8" ht="18" customHeight="1" x14ac:dyDescent="0.3">
      <c r="A11" s="157" t="s">
        <v>71</v>
      </c>
      <c r="B11" s="158">
        <v>5</v>
      </c>
      <c r="C11" s="158">
        <v>0</v>
      </c>
      <c r="D11" s="158">
        <v>24</v>
      </c>
      <c r="E11" s="155">
        <v>29</v>
      </c>
      <c r="H11" s="122"/>
    </row>
    <row r="12" spans="1:8" ht="18" customHeight="1" x14ac:dyDescent="0.3">
      <c r="A12" s="157" t="s">
        <v>170</v>
      </c>
      <c r="B12" s="158">
        <v>11</v>
      </c>
      <c r="C12" s="158">
        <v>0</v>
      </c>
      <c r="D12" s="158">
        <v>17</v>
      </c>
      <c r="E12" s="155">
        <v>28</v>
      </c>
      <c r="H12" s="122"/>
    </row>
    <row r="13" spans="1:8" ht="18" customHeight="1" x14ac:dyDescent="0.3">
      <c r="A13" s="157" t="s">
        <v>98</v>
      </c>
      <c r="B13" s="158">
        <v>9</v>
      </c>
      <c r="C13" s="158">
        <v>0</v>
      </c>
      <c r="D13" s="158">
        <v>19</v>
      </c>
      <c r="E13" s="155">
        <v>28</v>
      </c>
      <c r="H13" s="122"/>
    </row>
    <row r="14" spans="1:8" ht="18" customHeight="1" x14ac:dyDescent="0.3">
      <c r="A14" s="157" t="s">
        <v>81</v>
      </c>
      <c r="B14" s="158">
        <v>23</v>
      </c>
      <c r="C14" s="158">
        <v>0</v>
      </c>
      <c r="D14" s="158">
        <v>4</v>
      </c>
      <c r="E14" s="155">
        <v>27</v>
      </c>
      <c r="H14" s="122"/>
    </row>
    <row r="15" spans="1:8" ht="18" customHeight="1" x14ac:dyDescent="0.3">
      <c r="A15" s="157" t="s">
        <v>168</v>
      </c>
      <c r="B15" s="158">
        <v>23</v>
      </c>
      <c r="C15" s="158">
        <v>0</v>
      </c>
      <c r="D15" s="158">
        <v>3</v>
      </c>
      <c r="E15" s="155">
        <v>26</v>
      </c>
      <c r="H15" s="122"/>
    </row>
    <row r="16" spans="1:8" ht="18" customHeight="1" x14ac:dyDescent="0.3">
      <c r="A16" s="157" t="s">
        <v>80</v>
      </c>
      <c r="B16" s="158">
        <v>14</v>
      </c>
      <c r="C16" s="158">
        <v>0</v>
      </c>
      <c r="D16" s="158">
        <v>12</v>
      </c>
      <c r="E16" s="155">
        <v>26</v>
      </c>
      <c r="H16" s="122"/>
    </row>
    <row r="17" spans="1:8" ht="18" customHeight="1" x14ac:dyDescent="0.3">
      <c r="A17" s="157" t="s">
        <v>167</v>
      </c>
      <c r="B17" s="158">
        <v>2</v>
      </c>
      <c r="C17" s="158">
        <v>1</v>
      </c>
      <c r="D17" s="158">
        <v>22</v>
      </c>
      <c r="E17" s="155">
        <v>25</v>
      </c>
      <c r="H17" s="122"/>
    </row>
    <row r="18" spans="1:8" ht="31.2" customHeight="1" x14ac:dyDescent="0.3">
      <c r="A18" s="157" t="s">
        <v>166</v>
      </c>
      <c r="B18" s="158">
        <v>1</v>
      </c>
      <c r="C18" s="158">
        <v>0</v>
      </c>
      <c r="D18" s="158">
        <v>23</v>
      </c>
      <c r="E18" s="155">
        <v>24</v>
      </c>
      <c r="H18" s="122"/>
    </row>
    <row r="19" spans="1:8" ht="18" customHeight="1" x14ac:dyDescent="0.3">
      <c r="A19" s="157" t="s">
        <v>169</v>
      </c>
      <c r="B19" s="158">
        <v>5</v>
      </c>
      <c r="C19" s="158">
        <v>0</v>
      </c>
      <c r="D19" s="158">
        <v>16</v>
      </c>
      <c r="E19" s="155">
        <v>21</v>
      </c>
      <c r="H19" s="122"/>
    </row>
    <row r="20" spans="1:8" x14ac:dyDescent="0.3">
      <c r="A20" s="159"/>
      <c r="B20" s="159"/>
      <c r="C20" s="159"/>
      <c r="D20" s="159"/>
      <c r="E20" s="159"/>
    </row>
    <row r="21" spans="1:8" x14ac:dyDescent="0.3">
      <c r="A21" s="159"/>
      <c r="B21" s="159"/>
      <c r="C21" s="159"/>
      <c r="D21" s="159"/>
      <c r="E21" s="159"/>
    </row>
    <row r="22" spans="1:8" ht="35.25" customHeight="1" x14ac:dyDescent="0.3">
      <c r="A22" s="392" t="s">
        <v>242</v>
      </c>
      <c r="B22" s="392"/>
      <c r="C22" s="392"/>
      <c r="D22" s="392"/>
      <c r="E22" s="392"/>
    </row>
    <row r="23" spans="1:8" ht="21" customHeight="1" x14ac:dyDescent="0.3">
      <c r="A23" s="395" t="s">
        <v>0</v>
      </c>
      <c r="B23" s="395" t="s">
        <v>22</v>
      </c>
      <c r="C23" s="395"/>
      <c r="D23" s="395"/>
      <c r="E23" s="395"/>
    </row>
    <row r="24" spans="1:8" ht="31.5" customHeight="1" x14ac:dyDescent="0.3">
      <c r="A24" s="396"/>
      <c r="B24" s="160" t="s">
        <v>23</v>
      </c>
      <c r="C24" s="160" t="s">
        <v>24</v>
      </c>
      <c r="D24" s="160" t="s">
        <v>25</v>
      </c>
      <c r="E24" s="160" t="s">
        <v>18</v>
      </c>
    </row>
    <row r="25" spans="1:8" ht="18" customHeight="1" x14ac:dyDescent="0.3">
      <c r="A25" s="161" t="s">
        <v>63</v>
      </c>
      <c r="B25" s="162">
        <v>148</v>
      </c>
      <c r="C25" s="163">
        <v>6903</v>
      </c>
      <c r="D25" s="163">
        <v>60</v>
      </c>
      <c r="E25" s="163">
        <v>7111</v>
      </c>
    </row>
    <row r="26" spans="1:8" ht="18" customHeight="1" x14ac:dyDescent="0.3">
      <c r="A26" s="161" t="s">
        <v>62</v>
      </c>
      <c r="B26" s="162">
        <v>4421</v>
      </c>
      <c r="C26" s="163">
        <v>370</v>
      </c>
      <c r="D26" s="163">
        <v>1489</v>
      </c>
      <c r="E26" s="163">
        <v>6280</v>
      </c>
    </row>
    <row r="27" spans="1:8" ht="18" customHeight="1" x14ac:dyDescent="0.3">
      <c r="A27" s="161" t="s">
        <v>11</v>
      </c>
      <c r="B27" s="162">
        <v>3188</v>
      </c>
      <c r="C27" s="163">
        <v>5</v>
      </c>
      <c r="D27" s="163">
        <v>818</v>
      </c>
      <c r="E27" s="163">
        <v>4011</v>
      </c>
    </row>
    <row r="28" spans="1:8" ht="18" customHeight="1" x14ac:dyDescent="0.3">
      <c r="A28" s="161" t="s">
        <v>75</v>
      </c>
      <c r="B28" s="162">
        <v>2540</v>
      </c>
      <c r="C28" s="163">
        <v>12</v>
      </c>
      <c r="D28" s="163">
        <v>676</v>
      </c>
      <c r="E28" s="163">
        <v>3228</v>
      </c>
    </row>
    <row r="29" spans="1:8" ht="18" customHeight="1" x14ac:dyDescent="0.3">
      <c r="A29" s="161" t="s">
        <v>4</v>
      </c>
      <c r="B29" s="162">
        <v>3081</v>
      </c>
      <c r="C29" s="163">
        <v>10</v>
      </c>
      <c r="D29" s="163">
        <v>99</v>
      </c>
      <c r="E29" s="163">
        <v>3190</v>
      </c>
    </row>
    <row r="30" spans="1:8" ht="18" customHeight="1" x14ac:dyDescent="0.3">
      <c r="A30" s="161" t="s">
        <v>64</v>
      </c>
      <c r="B30" s="162">
        <v>1989</v>
      </c>
      <c r="C30" s="163">
        <v>78</v>
      </c>
      <c r="D30" s="163">
        <v>973</v>
      </c>
      <c r="E30" s="163">
        <v>3040</v>
      </c>
    </row>
    <row r="31" spans="1:8" ht="18" customHeight="1" x14ac:dyDescent="0.3">
      <c r="A31" s="161" t="s">
        <v>76</v>
      </c>
      <c r="B31" s="162">
        <v>2523</v>
      </c>
      <c r="C31" s="163">
        <v>73</v>
      </c>
      <c r="D31" s="163">
        <v>348</v>
      </c>
      <c r="E31" s="163">
        <v>2944</v>
      </c>
    </row>
    <row r="32" spans="1:8" ht="18" customHeight="1" x14ac:dyDescent="0.3">
      <c r="A32" s="161" t="s">
        <v>3</v>
      </c>
      <c r="B32" s="162">
        <v>2604</v>
      </c>
      <c r="C32" s="163">
        <v>11</v>
      </c>
      <c r="D32" s="163">
        <v>297</v>
      </c>
      <c r="E32" s="163">
        <v>2912</v>
      </c>
    </row>
    <row r="33" spans="1:5" ht="18" customHeight="1" x14ac:dyDescent="0.3">
      <c r="A33" s="161" t="s">
        <v>58</v>
      </c>
      <c r="B33" s="162">
        <v>1451</v>
      </c>
      <c r="C33" s="163">
        <v>436</v>
      </c>
      <c r="D33" s="163">
        <v>995</v>
      </c>
      <c r="E33" s="163">
        <v>2882</v>
      </c>
    </row>
    <row r="34" spans="1:5" ht="18" customHeight="1" x14ac:dyDescent="0.3">
      <c r="A34" s="161" t="s">
        <v>10</v>
      </c>
      <c r="B34" s="162">
        <v>1837</v>
      </c>
      <c r="C34" s="163">
        <v>7</v>
      </c>
      <c r="D34" s="163">
        <v>631</v>
      </c>
      <c r="E34" s="163">
        <v>2475</v>
      </c>
    </row>
    <row r="35" spans="1:5" ht="18" customHeight="1" x14ac:dyDescent="0.3">
      <c r="A35" s="161" t="s">
        <v>74</v>
      </c>
      <c r="B35" s="162">
        <v>729</v>
      </c>
      <c r="C35" s="163">
        <v>95</v>
      </c>
      <c r="D35" s="163">
        <v>1622</v>
      </c>
      <c r="E35" s="163">
        <v>2446</v>
      </c>
    </row>
    <row r="36" spans="1:5" ht="18" customHeight="1" x14ac:dyDescent="0.3">
      <c r="A36" s="161" t="s">
        <v>88</v>
      </c>
      <c r="B36" s="162">
        <v>2378</v>
      </c>
      <c r="C36" s="163">
        <v>2</v>
      </c>
      <c r="D36" s="163">
        <v>60</v>
      </c>
      <c r="E36" s="163">
        <v>2440</v>
      </c>
    </row>
    <row r="37" spans="1:5" ht="18" customHeight="1" x14ac:dyDescent="0.3">
      <c r="A37" s="161" t="s">
        <v>59</v>
      </c>
      <c r="B37" s="162">
        <v>1066</v>
      </c>
      <c r="C37" s="163">
        <v>570</v>
      </c>
      <c r="D37" s="163">
        <v>764</v>
      </c>
      <c r="E37" s="163">
        <v>2400</v>
      </c>
    </row>
    <row r="38" spans="1:5" ht="18" customHeight="1" x14ac:dyDescent="0.3">
      <c r="A38" s="161" t="s">
        <v>94</v>
      </c>
      <c r="B38" s="162">
        <v>660</v>
      </c>
      <c r="C38" s="163">
        <v>55</v>
      </c>
      <c r="D38" s="163">
        <v>1165</v>
      </c>
      <c r="E38" s="163">
        <v>1880</v>
      </c>
    </row>
    <row r="39" spans="1:5" ht="18" customHeight="1" x14ac:dyDescent="0.3">
      <c r="A39" s="161" t="s">
        <v>9</v>
      </c>
      <c r="B39" s="162">
        <v>1267</v>
      </c>
      <c r="C39" s="163">
        <v>37</v>
      </c>
      <c r="D39" s="163">
        <v>383</v>
      </c>
      <c r="E39" s="163">
        <v>1687</v>
      </c>
    </row>
    <row r="40" spans="1:5" ht="18" customHeight="1" x14ac:dyDescent="0.3">
      <c r="A40" s="161" t="s">
        <v>12</v>
      </c>
      <c r="B40" s="162">
        <v>1231</v>
      </c>
      <c r="C40" s="163">
        <v>0</v>
      </c>
      <c r="D40" s="163">
        <v>372</v>
      </c>
      <c r="E40" s="163">
        <v>1603</v>
      </c>
    </row>
    <row r="41" spans="1:5" ht="18" customHeight="1" x14ac:dyDescent="0.3">
      <c r="A41" s="161" t="s">
        <v>92</v>
      </c>
      <c r="B41" s="162">
        <v>68</v>
      </c>
      <c r="C41" s="163">
        <v>1421</v>
      </c>
      <c r="D41" s="163">
        <v>65</v>
      </c>
      <c r="E41" s="163">
        <v>1554</v>
      </c>
    </row>
    <row r="42" spans="1:5" ht="18" customHeight="1" x14ac:dyDescent="0.3">
      <c r="A42" s="161" t="s">
        <v>61</v>
      </c>
      <c r="B42" s="162">
        <v>595</v>
      </c>
      <c r="C42" s="163">
        <v>222</v>
      </c>
      <c r="D42" s="163">
        <v>543</v>
      </c>
      <c r="E42" s="163">
        <v>1360</v>
      </c>
    </row>
    <row r="43" spans="1:5" ht="18" customHeight="1" x14ac:dyDescent="0.3">
      <c r="A43" s="161" t="s">
        <v>2</v>
      </c>
      <c r="B43" s="162">
        <v>35</v>
      </c>
      <c r="C43" s="163">
        <v>1031</v>
      </c>
      <c r="D43" s="163">
        <v>52</v>
      </c>
      <c r="E43" s="163">
        <v>1118</v>
      </c>
    </row>
    <row r="44" spans="1:5" ht="18" customHeight="1" x14ac:dyDescent="0.3">
      <c r="A44" s="161" t="s">
        <v>72</v>
      </c>
      <c r="B44" s="162">
        <v>860</v>
      </c>
      <c r="C44" s="163">
        <v>10</v>
      </c>
      <c r="D44" s="163">
        <v>219</v>
      </c>
      <c r="E44" s="163">
        <v>1089</v>
      </c>
    </row>
    <row r="45" spans="1:5" x14ac:dyDescent="0.3">
      <c r="A45" s="159"/>
      <c r="B45" s="159"/>
      <c r="C45" s="159"/>
      <c r="D45" s="159"/>
      <c r="E45" s="159"/>
    </row>
    <row r="46" spans="1:5" s="14" customFormat="1" x14ac:dyDescent="0.3">
      <c r="A46" s="164"/>
      <c r="B46" s="164"/>
      <c r="C46" s="164"/>
      <c r="D46" s="164"/>
      <c r="E46" s="164"/>
    </row>
    <row r="47" spans="1:5" ht="27" customHeight="1" x14ac:dyDescent="0.3">
      <c r="A47" s="1" t="s">
        <v>243</v>
      </c>
      <c r="B47" s="159"/>
      <c r="C47" s="159"/>
      <c r="D47" s="159"/>
      <c r="E47" s="159"/>
    </row>
    <row r="48" spans="1:5" ht="18" customHeight="1" x14ac:dyDescent="0.3">
      <c r="A48" s="395" t="s">
        <v>0</v>
      </c>
      <c r="B48" s="395" t="s">
        <v>22</v>
      </c>
      <c r="C48" s="395"/>
      <c r="D48" s="395"/>
      <c r="E48" s="395"/>
    </row>
    <row r="49" spans="1:5" ht="30.75" customHeight="1" x14ac:dyDescent="0.3">
      <c r="A49" s="395"/>
      <c r="B49" s="165" t="s">
        <v>23</v>
      </c>
      <c r="C49" s="165" t="s">
        <v>24</v>
      </c>
      <c r="D49" s="165" t="s">
        <v>25</v>
      </c>
      <c r="E49" s="165" t="s">
        <v>18</v>
      </c>
    </row>
    <row r="50" spans="1:5" ht="27.75" customHeight="1" x14ac:dyDescent="0.3">
      <c r="A50" s="397" t="s">
        <v>245</v>
      </c>
      <c r="B50" s="397"/>
      <c r="C50" s="397"/>
      <c r="D50" s="397"/>
      <c r="E50" s="397"/>
    </row>
    <row r="51" spans="1:5" ht="18" customHeight="1" x14ac:dyDescent="0.3">
      <c r="A51" s="64" t="s">
        <v>80</v>
      </c>
      <c r="B51" s="64">
        <v>177</v>
      </c>
      <c r="C51" s="64">
        <v>2</v>
      </c>
      <c r="D51" s="64">
        <v>117</v>
      </c>
      <c r="E51" s="64">
        <v>296</v>
      </c>
    </row>
    <row r="52" spans="1:5" ht="18" customHeight="1" x14ac:dyDescent="0.3">
      <c r="A52" s="64" t="s">
        <v>162</v>
      </c>
      <c r="B52" s="64">
        <v>148</v>
      </c>
      <c r="C52" s="64">
        <v>55</v>
      </c>
      <c r="D52" s="64">
        <v>17</v>
      </c>
      <c r="E52" s="64">
        <v>220</v>
      </c>
    </row>
    <row r="53" spans="1:5" ht="18" customHeight="1" x14ac:dyDescent="0.3">
      <c r="A53" s="64" t="s">
        <v>89</v>
      </c>
      <c r="B53" s="64">
        <v>26</v>
      </c>
      <c r="C53" s="64">
        <v>6</v>
      </c>
      <c r="D53" s="64">
        <v>102</v>
      </c>
      <c r="E53" s="64">
        <v>134</v>
      </c>
    </row>
    <row r="54" spans="1:5" ht="18" customHeight="1" x14ac:dyDescent="0.3">
      <c r="A54" s="64" t="s">
        <v>81</v>
      </c>
      <c r="B54" s="64">
        <v>108</v>
      </c>
      <c r="C54" s="64">
        <v>1</v>
      </c>
      <c r="D54" s="64">
        <v>21</v>
      </c>
      <c r="E54" s="64">
        <v>130</v>
      </c>
    </row>
    <row r="55" spans="1:5" ht="18" customHeight="1" x14ac:dyDescent="0.3">
      <c r="A55" s="64" t="s">
        <v>79</v>
      </c>
      <c r="B55" s="64">
        <v>68</v>
      </c>
      <c r="C55" s="64">
        <v>4</v>
      </c>
      <c r="D55" s="64">
        <v>41</v>
      </c>
      <c r="E55" s="64">
        <v>113</v>
      </c>
    </row>
    <row r="56" spans="1:5" ht="28.5" customHeight="1" x14ac:dyDescent="0.3">
      <c r="A56" s="398" t="s">
        <v>246</v>
      </c>
      <c r="B56" s="399"/>
      <c r="C56" s="399"/>
      <c r="D56" s="399"/>
      <c r="E56" s="400"/>
    </row>
    <row r="57" spans="1:5" ht="18" customHeight="1" x14ac:dyDescent="0.3">
      <c r="A57" s="166" t="s">
        <v>7</v>
      </c>
      <c r="B57" s="166">
        <v>61</v>
      </c>
      <c r="C57" s="166">
        <v>17</v>
      </c>
      <c r="D57" s="166">
        <v>221</v>
      </c>
      <c r="E57" s="166">
        <v>299</v>
      </c>
    </row>
    <row r="58" spans="1:5" ht="18" customHeight="1" x14ac:dyDescent="0.3">
      <c r="A58" s="166" t="s">
        <v>68</v>
      </c>
      <c r="B58" s="166">
        <v>37</v>
      </c>
      <c r="C58" s="166">
        <v>22</v>
      </c>
      <c r="D58" s="166">
        <v>149</v>
      </c>
      <c r="E58" s="166">
        <v>208</v>
      </c>
    </row>
    <row r="59" spans="1:5" ht="18" customHeight="1" x14ac:dyDescent="0.3">
      <c r="A59" s="166" t="s">
        <v>67</v>
      </c>
      <c r="B59" s="166">
        <v>20</v>
      </c>
      <c r="C59" s="166">
        <v>113</v>
      </c>
      <c r="D59" s="166">
        <v>61</v>
      </c>
      <c r="E59" s="166">
        <v>194</v>
      </c>
    </row>
    <row r="60" spans="1:5" ht="18" customHeight="1" x14ac:dyDescent="0.3">
      <c r="A60" s="166" t="s">
        <v>77</v>
      </c>
      <c r="B60" s="166">
        <v>34</v>
      </c>
      <c r="C60" s="166">
        <v>106</v>
      </c>
      <c r="D60" s="166">
        <v>48</v>
      </c>
      <c r="E60" s="166">
        <v>188</v>
      </c>
    </row>
    <row r="61" spans="1:5" ht="18" customHeight="1" x14ac:dyDescent="0.3">
      <c r="A61" s="166" t="s">
        <v>171</v>
      </c>
      <c r="B61" s="166">
        <v>41</v>
      </c>
      <c r="C61" s="166">
        <v>0</v>
      </c>
      <c r="D61" s="166">
        <v>46</v>
      </c>
      <c r="E61" s="166">
        <v>87</v>
      </c>
    </row>
    <row r="62" spans="1:5" ht="35.25" customHeight="1" x14ac:dyDescent="0.3">
      <c r="A62" s="397" t="s">
        <v>247</v>
      </c>
      <c r="B62" s="397"/>
      <c r="C62" s="397"/>
      <c r="D62" s="397"/>
      <c r="E62" s="397"/>
    </row>
    <row r="63" spans="1:5" ht="18" customHeight="1" x14ac:dyDescent="0.3">
      <c r="A63" s="147" t="s">
        <v>2</v>
      </c>
      <c r="B63" s="167">
        <v>36</v>
      </c>
      <c r="C63" s="167">
        <v>1036</v>
      </c>
      <c r="D63" s="167">
        <v>59</v>
      </c>
      <c r="E63" s="167">
        <v>1131</v>
      </c>
    </row>
    <row r="64" spans="1:5" ht="18" customHeight="1" x14ac:dyDescent="0.3">
      <c r="A64" s="147" t="s">
        <v>65</v>
      </c>
      <c r="B64" s="167">
        <v>554</v>
      </c>
      <c r="C64" s="167">
        <v>14</v>
      </c>
      <c r="D64" s="167">
        <v>144</v>
      </c>
      <c r="E64" s="167">
        <v>712</v>
      </c>
    </row>
    <row r="65" spans="1:5" ht="18" customHeight="1" x14ac:dyDescent="0.3">
      <c r="A65" s="147" t="s">
        <v>90</v>
      </c>
      <c r="B65" s="167">
        <v>203</v>
      </c>
      <c r="C65" s="167">
        <v>25</v>
      </c>
      <c r="D65" s="167">
        <v>163</v>
      </c>
      <c r="E65" s="167">
        <v>391</v>
      </c>
    </row>
    <row r="66" spans="1:5" ht="18" customHeight="1" x14ac:dyDescent="0.3">
      <c r="A66" s="147" t="s">
        <v>57</v>
      </c>
      <c r="B66" s="167">
        <v>68</v>
      </c>
      <c r="C66" s="167">
        <v>106</v>
      </c>
      <c r="D66" s="167">
        <v>197</v>
      </c>
      <c r="E66" s="167">
        <v>371</v>
      </c>
    </row>
    <row r="67" spans="1:5" ht="18" customHeight="1" x14ac:dyDescent="0.3">
      <c r="A67" s="147" t="s">
        <v>60</v>
      </c>
      <c r="B67" s="167">
        <v>143</v>
      </c>
      <c r="C67" s="167">
        <v>15</v>
      </c>
      <c r="D67" s="167">
        <v>118</v>
      </c>
      <c r="E67" s="167">
        <v>276</v>
      </c>
    </row>
    <row r="68" spans="1:5" ht="35.25" customHeight="1" x14ac:dyDescent="0.3">
      <c r="A68" s="401" t="s">
        <v>248</v>
      </c>
      <c r="B68" s="401"/>
      <c r="C68" s="401"/>
      <c r="D68" s="401"/>
      <c r="E68" s="401"/>
    </row>
    <row r="69" spans="1:5" ht="18" customHeight="1" x14ac:dyDescent="0.3">
      <c r="A69" s="64" t="s">
        <v>4</v>
      </c>
      <c r="B69" s="64">
        <v>3373</v>
      </c>
      <c r="C69" s="64">
        <v>11</v>
      </c>
      <c r="D69" s="64">
        <v>113</v>
      </c>
      <c r="E69" s="64">
        <v>3497</v>
      </c>
    </row>
    <row r="70" spans="1:5" ht="18" customHeight="1" x14ac:dyDescent="0.3">
      <c r="A70" s="64" t="s">
        <v>3</v>
      </c>
      <c r="B70" s="64">
        <v>2988</v>
      </c>
      <c r="C70" s="64">
        <v>13</v>
      </c>
      <c r="D70" s="64">
        <v>336</v>
      </c>
      <c r="E70" s="64">
        <v>3337</v>
      </c>
    </row>
    <row r="71" spans="1:5" ht="18" customHeight="1" x14ac:dyDescent="0.3">
      <c r="A71" s="64" t="s">
        <v>93</v>
      </c>
      <c r="B71" s="64">
        <v>661</v>
      </c>
      <c r="C71" s="64">
        <v>14</v>
      </c>
      <c r="D71" s="64">
        <v>344</v>
      </c>
      <c r="E71" s="64">
        <v>1019</v>
      </c>
    </row>
    <row r="72" spans="1:5" ht="18" customHeight="1" x14ac:dyDescent="0.3">
      <c r="A72" s="64" t="s">
        <v>104</v>
      </c>
      <c r="B72" s="64">
        <v>741</v>
      </c>
      <c r="C72" s="64">
        <v>0</v>
      </c>
      <c r="D72" s="64">
        <v>187</v>
      </c>
      <c r="E72" s="64">
        <v>928</v>
      </c>
    </row>
    <row r="73" spans="1:5" ht="18" customHeight="1" x14ac:dyDescent="0.3">
      <c r="A73" s="64" t="s">
        <v>85</v>
      </c>
      <c r="B73" s="64">
        <v>692</v>
      </c>
      <c r="C73" s="64">
        <v>0</v>
      </c>
      <c r="D73" s="64">
        <v>153</v>
      </c>
      <c r="E73" s="64">
        <v>845</v>
      </c>
    </row>
    <row r="74" spans="1:5" ht="33" customHeight="1" x14ac:dyDescent="0.3">
      <c r="A74" s="397" t="s">
        <v>249</v>
      </c>
      <c r="B74" s="397"/>
      <c r="C74" s="397"/>
      <c r="D74" s="397"/>
      <c r="E74" s="397"/>
    </row>
    <row r="75" spans="1:5" ht="18" customHeight="1" x14ac:dyDescent="0.3">
      <c r="A75" s="166" t="s">
        <v>62</v>
      </c>
      <c r="B75" s="166">
        <v>4587</v>
      </c>
      <c r="C75" s="166">
        <v>378</v>
      </c>
      <c r="D75" s="166">
        <v>1559</v>
      </c>
      <c r="E75" s="166">
        <v>6524</v>
      </c>
    </row>
    <row r="76" spans="1:5" ht="18" customHeight="1" x14ac:dyDescent="0.3">
      <c r="A76" s="166" t="s">
        <v>58</v>
      </c>
      <c r="B76" s="166">
        <v>1663</v>
      </c>
      <c r="C76" s="166">
        <v>530</v>
      </c>
      <c r="D76" s="166">
        <v>1243</v>
      </c>
      <c r="E76" s="166">
        <v>3436</v>
      </c>
    </row>
    <row r="77" spans="1:5" ht="18" customHeight="1" x14ac:dyDescent="0.3">
      <c r="A77" s="166" t="s">
        <v>64</v>
      </c>
      <c r="B77" s="166">
        <v>2040</v>
      </c>
      <c r="C77" s="166">
        <v>78</v>
      </c>
      <c r="D77" s="166">
        <v>1002</v>
      </c>
      <c r="E77" s="166">
        <v>3120</v>
      </c>
    </row>
    <row r="78" spans="1:5" ht="18" customHeight="1" x14ac:dyDescent="0.3">
      <c r="A78" s="166" t="s">
        <v>59</v>
      </c>
      <c r="B78" s="166">
        <v>1167</v>
      </c>
      <c r="C78" s="166">
        <v>590</v>
      </c>
      <c r="D78" s="166">
        <v>888</v>
      </c>
      <c r="E78" s="166">
        <v>2645</v>
      </c>
    </row>
    <row r="79" spans="1:5" ht="18" customHeight="1" x14ac:dyDescent="0.3">
      <c r="A79" s="166" t="s">
        <v>61</v>
      </c>
      <c r="B79" s="166">
        <v>635</v>
      </c>
      <c r="C79" s="166">
        <v>227</v>
      </c>
      <c r="D79" s="166">
        <v>586</v>
      </c>
      <c r="E79" s="166">
        <v>1448</v>
      </c>
    </row>
    <row r="80" spans="1:5" ht="34.5" customHeight="1" x14ac:dyDescent="0.3">
      <c r="A80" s="397" t="s">
        <v>250</v>
      </c>
      <c r="B80" s="397"/>
      <c r="C80" s="397"/>
      <c r="D80" s="397"/>
      <c r="E80" s="397"/>
    </row>
    <row r="81" spans="1:5" ht="18" customHeight="1" x14ac:dyDescent="0.3">
      <c r="A81" s="166" t="s">
        <v>11</v>
      </c>
      <c r="B81" s="166">
        <v>3330</v>
      </c>
      <c r="C81" s="166">
        <v>6</v>
      </c>
      <c r="D81" s="166">
        <v>851</v>
      </c>
      <c r="E81" s="166">
        <v>4187</v>
      </c>
    </row>
    <row r="82" spans="1:5" ht="18" customHeight="1" x14ac:dyDescent="0.3">
      <c r="A82" s="166" t="s">
        <v>75</v>
      </c>
      <c r="B82" s="166">
        <v>2564</v>
      </c>
      <c r="C82" s="166">
        <v>12</v>
      </c>
      <c r="D82" s="166">
        <v>679</v>
      </c>
      <c r="E82" s="166">
        <v>3255</v>
      </c>
    </row>
    <row r="83" spans="1:5" ht="18" customHeight="1" x14ac:dyDescent="0.3">
      <c r="A83" s="166" t="s">
        <v>10</v>
      </c>
      <c r="B83" s="166">
        <v>1862</v>
      </c>
      <c r="C83" s="166">
        <v>7</v>
      </c>
      <c r="D83" s="166">
        <v>639</v>
      </c>
      <c r="E83" s="166">
        <v>2508</v>
      </c>
    </row>
    <row r="84" spans="1:5" ht="18" customHeight="1" x14ac:dyDescent="0.3">
      <c r="A84" s="166" t="s">
        <v>9</v>
      </c>
      <c r="B84" s="166">
        <v>1451</v>
      </c>
      <c r="C84" s="166">
        <v>38</v>
      </c>
      <c r="D84" s="166">
        <v>427</v>
      </c>
      <c r="E84" s="166">
        <v>1916</v>
      </c>
    </row>
    <row r="85" spans="1:5" ht="18" customHeight="1" x14ac:dyDescent="0.3">
      <c r="A85" s="166" t="s">
        <v>12</v>
      </c>
      <c r="B85" s="166">
        <v>1314</v>
      </c>
      <c r="C85" s="166">
        <v>0</v>
      </c>
      <c r="D85" s="166">
        <v>399</v>
      </c>
      <c r="E85" s="166">
        <v>1713</v>
      </c>
    </row>
    <row r="86" spans="1:5" x14ac:dyDescent="0.3">
      <c r="A86" s="159"/>
      <c r="B86" s="159"/>
      <c r="C86" s="159"/>
      <c r="D86" s="159"/>
      <c r="E86" s="159"/>
    </row>
    <row r="87" spans="1:5" x14ac:dyDescent="0.3">
      <c r="A87" s="159"/>
      <c r="B87" s="159"/>
      <c r="C87" s="159"/>
      <c r="D87" s="159"/>
      <c r="E87" s="159"/>
    </row>
    <row r="88" spans="1:5" ht="24" customHeight="1" x14ac:dyDescent="0.3">
      <c r="A88" s="1" t="s">
        <v>244</v>
      </c>
      <c r="B88" s="159"/>
      <c r="C88" s="159"/>
      <c r="D88" s="159"/>
      <c r="E88" s="159"/>
    </row>
    <row r="89" spans="1:5" ht="17.25" customHeight="1" x14ac:dyDescent="0.3">
      <c r="A89" s="1" t="s">
        <v>193</v>
      </c>
      <c r="B89" s="159"/>
      <c r="C89" s="159"/>
      <c r="D89" s="159"/>
      <c r="E89" s="159"/>
    </row>
    <row r="90" spans="1:5" ht="33.75" customHeight="1" x14ac:dyDescent="0.3">
      <c r="A90" s="149" t="s">
        <v>69</v>
      </c>
      <c r="B90" s="148" t="s">
        <v>70</v>
      </c>
      <c r="C90" s="159"/>
      <c r="D90" s="159"/>
      <c r="E90" s="159"/>
    </row>
    <row r="91" spans="1:5" ht="18" customHeight="1" x14ac:dyDescent="0.3">
      <c r="A91" s="322" t="s">
        <v>80</v>
      </c>
      <c r="B91" s="145">
        <v>1</v>
      </c>
      <c r="C91" s="159"/>
      <c r="D91" s="159"/>
      <c r="E91" s="159"/>
    </row>
    <row r="92" spans="1:5" ht="27.6" customHeight="1" x14ac:dyDescent="0.3">
      <c r="A92" s="322" t="s">
        <v>162</v>
      </c>
      <c r="B92" s="145">
        <v>2</v>
      </c>
      <c r="C92" s="159"/>
      <c r="D92" s="159"/>
      <c r="E92" s="159"/>
    </row>
    <row r="93" spans="1:5" ht="18" customHeight="1" x14ac:dyDescent="0.3">
      <c r="A93" s="322" t="s">
        <v>89</v>
      </c>
      <c r="B93" s="145">
        <v>3</v>
      </c>
      <c r="C93" s="159"/>
      <c r="D93" s="159"/>
      <c r="E93" s="159"/>
    </row>
    <row r="94" spans="1:5" ht="18" customHeight="1" x14ac:dyDescent="0.3">
      <c r="A94" s="322" t="s">
        <v>81</v>
      </c>
      <c r="B94" s="145">
        <v>4</v>
      </c>
      <c r="C94" s="159"/>
      <c r="D94" s="159"/>
      <c r="E94" s="159"/>
    </row>
    <row r="95" spans="1:5" ht="18" customHeight="1" x14ac:dyDescent="0.3">
      <c r="A95" s="322" t="s">
        <v>79</v>
      </c>
      <c r="B95" s="145">
        <v>5</v>
      </c>
      <c r="C95" s="159"/>
      <c r="D95" s="159"/>
      <c r="E95" s="159"/>
    </row>
    <row r="96" spans="1:5" ht="18" customHeight="1" x14ac:dyDescent="0.3">
      <c r="A96" s="322" t="s">
        <v>78</v>
      </c>
      <c r="B96" s="145">
        <v>6</v>
      </c>
      <c r="C96" s="159"/>
      <c r="D96" s="159"/>
      <c r="E96" s="159"/>
    </row>
    <row r="97" spans="1:5" ht="18" customHeight="1" x14ac:dyDescent="0.3">
      <c r="A97" s="322" t="s">
        <v>126</v>
      </c>
      <c r="B97" s="145">
        <v>7</v>
      </c>
      <c r="C97" s="159"/>
      <c r="D97" s="159"/>
      <c r="E97" s="159"/>
    </row>
    <row r="98" spans="1:5" ht="19.8" customHeight="1" x14ac:dyDescent="0.3">
      <c r="A98" s="322" t="s">
        <v>107</v>
      </c>
      <c r="B98" s="145">
        <v>8</v>
      </c>
      <c r="C98" s="159"/>
      <c r="D98" s="159"/>
      <c r="E98" s="159"/>
    </row>
    <row r="99" spans="1:5" ht="27" customHeight="1" x14ac:dyDescent="0.3">
      <c r="A99" s="322" t="s">
        <v>168</v>
      </c>
      <c r="B99" s="145">
        <v>9</v>
      </c>
      <c r="C99" s="159"/>
      <c r="D99" s="159"/>
      <c r="E99" s="159"/>
    </row>
    <row r="100" spans="1:5" ht="18" customHeight="1" x14ac:dyDescent="0.3">
      <c r="A100" s="322" t="s">
        <v>99</v>
      </c>
      <c r="B100" s="145">
        <v>10</v>
      </c>
      <c r="C100" s="159"/>
      <c r="D100" s="159"/>
      <c r="E100" s="159"/>
    </row>
    <row r="101" spans="1:5" x14ac:dyDescent="0.3">
      <c r="A101" s="159"/>
      <c r="B101" s="159"/>
      <c r="C101" s="159"/>
      <c r="D101" s="159"/>
      <c r="E101" s="159"/>
    </row>
    <row r="102" spans="1:5" x14ac:dyDescent="0.3">
      <c r="A102" s="159"/>
      <c r="B102" s="159"/>
      <c r="C102" s="159"/>
      <c r="D102" s="159"/>
      <c r="E102" s="159"/>
    </row>
    <row r="103" spans="1:5" ht="21.75" customHeight="1" x14ac:dyDescent="0.3">
      <c r="A103" s="169" t="s">
        <v>194</v>
      </c>
      <c r="B103" s="159"/>
      <c r="C103" s="159"/>
      <c r="D103" s="159"/>
      <c r="E103" s="159"/>
    </row>
    <row r="104" spans="1:5" ht="33" customHeight="1" x14ac:dyDescent="0.3">
      <c r="A104" s="219" t="s">
        <v>69</v>
      </c>
      <c r="B104" s="218" t="s">
        <v>70</v>
      </c>
      <c r="C104" s="159"/>
      <c r="D104" s="159"/>
      <c r="E104" s="159"/>
    </row>
    <row r="105" spans="1:5" ht="18" customHeight="1" x14ac:dyDescent="0.3">
      <c r="A105" s="154" t="s">
        <v>7</v>
      </c>
      <c r="B105" s="145">
        <v>1</v>
      </c>
      <c r="C105" s="159"/>
      <c r="E105" s="159"/>
    </row>
    <row r="106" spans="1:5" ht="18" customHeight="1" x14ac:dyDescent="0.3">
      <c r="A106" s="154" t="s">
        <v>68</v>
      </c>
      <c r="B106" s="145">
        <v>2</v>
      </c>
      <c r="C106" s="159"/>
      <c r="E106" s="159"/>
    </row>
    <row r="107" spans="1:5" ht="18" customHeight="1" x14ac:dyDescent="0.3">
      <c r="A107" s="154" t="s">
        <v>67</v>
      </c>
      <c r="B107" s="145">
        <v>3</v>
      </c>
      <c r="C107" s="159"/>
      <c r="E107" s="159"/>
    </row>
    <row r="108" spans="1:5" ht="18" customHeight="1" x14ac:dyDescent="0.3">
      <c r="A108" s="154" t="s">
        <v>77</v>
      </c>
      <c r="B108" s="145">
        <v>4</v>
      </c>
      <c r="C108" s="159"/>
      <c r="E108" s="159"/>
    </row>
    <row r="109" spans="1:5" ht="18" customHeight="1" x14ac:dyDescent="0.3">
      <c r="A109" s="154" t="s">
        <v>171</v>
      </c>
      <c r="B109" s="145">
        <v>5</v>
      </c>
      <c r="C109" s="159"/>
      <c r="E109" s="159"/>
    </row>
    <row r="110" spans="1:5" ht="18" customHeight="1" x14ac:dyDescent="0.3">
      <c r="A110" s="154" t="s">
        <v>71</v>
      </c>
      <c r="B110" s="145">
        <v>6</v>
      </c>
      <c r="C110" s="159"/>
      <c r="E110" s="159"/>
    </row>
    <row r="111" spans="1:5" ht="18" customHeight="1" x14ac:dyDescent="0.3">
      <c r="A111" s="154" t="s">
        <v>82</v>
      </c>
      <c r="B111" s="145">
        <v>7</v>
      </c>
      <c r="C111" s="159"/>
      <c r="E111" s="159"/>
    </row>
    <row r="112" spans="1:5" ht="18" customHeight="1" x14ac:dyDescent="0.3">
      <c r="A112" s="154" t="s">
        <v>98</v>
      </c>
      <c r="B112" s="145">
        <v>8</v>
      </c>
      <c r="C112" s="159"/>
      <c r="E112" s="159"/>
    </row>
    <row r="113" spans="1:5" ht="18" customHeight="1" x14ac:dyDescent="0.3">
      <c r="A113" s="154" t="s">
        <v>83</v>
      </c>
      <c r="B113" s="145">
        <v>9</v>
      </c>
      <c r="C113" s="159"/>
      <c r="E113" s="159"/>
    </row>
    <row r="114" spans="1:5" ht="18" customHeight="1" x14ac:dyDescent="0.3">
      <c r="A114" s="154" t="s">
        <v>172</v>
      </c>
      <c r="B114" s="145">
        <v>10</v>
      </c>
      <c r="C114" s="159"/>
      <c r="E114" s="159"/>
    </row>
    <row r="115" spans="1:5" x14ac:dyDescent="0.3">
      <c r="A115" s="159"/>
      <c r="B115" s="159"/>
      <c r="C115" s="159"/>
      <c r="D115" s="159"/>
      <c r="E115" s="159"/>
    </row>
    <row r="116" spans="1:5" x14ac:dyDescent="0.3">
      <c r="A116" s="159"/>
      <c r="B116" s="159"/>
      <c r="C116" s="159"/>
      <c r="D116" s="159"/>
      <c r="E116" s="159"/>
    </row>
    <row r="117" spans="1:5" ht="29.25" customHeight="1" x14ac:dyDescent="0.3">
      <c r="A117" s="170" t="s">
        <v>195</v>
      </c>
      <c r="B117" s="159"/>
      <c r="C117" s="159"/>
      <c r="D117" s="159"/>
      <c r="E117" s="159"/>
    </row>
    <row r="118" spans="1:5" ht="30.75" customHeight="1" x14ac:dyDescent="0.3">
      <c r="A118" s="219" t="s">
        <v>69</v>
      </c>
      <c r="B118" s="218" t="s">
        <v>70</v>
      </c>
      <c r="C118" s="159"/>
      <c r="D118" s="159"/>
      <c r="E118" s="159"/>
    </row>
    <row r="119" spans="1:5" ht="18" customHeight="1" x14ac:dyDescent="0.3">
      <c r="A119" s="168" t="s">
        <v>2</v>
      </c>
      <c r="B119" s="145">
        <v>1</v>
      </c>
      <c r="C119" s="159"/>
      <c r="D119" s="159"/>
      <c r="E119" s="159"/>
    </row>
    <row r="120" spans="1:5" ht="18" customHeight="1" x14ac:dyDescent="0.3">
      <c r="A120" s="168" t="s">
        <v>65</v>
      </c>
      <c r="B120" s="145">
        <v>2</v>
      </c>
      <c r="C120" s="159"/>
      <c r="D120" s="159"/>
      <c r="E120" s="159"/>
    </row>
    <row r="121" spans="1:5" ht="18" customHeight="1" x14ac:dyDescent="0.3">
      <c r="A121" s="168" t="s">
        <v>90</v>
      </c>
      <c r="B121" s="145">
        <v>3</v>
      </c>
      <c r="C121" s="159"/>
      <c r="D121" s="159"/>
      <c r="E121" s="159"/>
    </row>
    <row r="122" spans="1:5" ht="18" customHeight="1" x14ac:dyDescent="0.3">
      <c r="A122" s="168" t="s">
        <v>57</v>
      </c>
      <c r="B122" s="145">
        <v>4</v>
      </c>
      <c r="C122" s="159"/>
      <c r="D122" s="159"/>
      <c r="E122" s="159"/>
    </row>
    <row r="123" spans="1:5" ht="18" customHeight="1" x14ac:dyDescent="0.3">
      <c r="A123" s="168" t="s">
        <v>60</v>
      </c>
      <c r="B123" s="145">
        <v>5</v>
      </c>
      <c r="C123" s="159"/>
      <c r="D123" s="159"/>
      <c r="E123" s="159"/>
    </row>
    <row r="124" spans="1:5" ht="18" customHeight="1" x14ac:dyDescent="0.3">
      <c r="A124" s="168" t="s">
        <v>95</v>
      </c>
      <c r="B124" s="145">
        <v>6</v>
      </c>
      <c r="C124" s="159"/>
      <c r="D124" s="159"/>
      <c r="E124" s="159"/>
    </row>
    <row r="125" spans="1:5" ht="18" customHeight="1" x14ac:dyDescent="0.3">
      <c r="A125" s="168" t="s">
        <v>1</v>
      </c>
      <c r="B125" s="145">
        <v>7</v>
      </c>
      <c r="C125" s="159"/>
      <c r="D125" s="159"/>
      <c r="E125" s="159"/>
    </row>
    <row r="126" spans="1:5" ht="18" customHeight="1" x14ac:dyDescent="0.3">
      <c r="A126" s="168" t="s">
        <v>173</v>
      </c>
      <c r="B126" s="145">
        <v>8</v>
      </c>
      <c r="C126" s="159"/>
      <c r="D126" s="159"/>
      <c r="E126" s="159"/>
    </row>
    <row r="127" spans="1:5" ht="18" customHeight="1" x14ac:dyDescent="0.3">
      <c r="A127" s="168" t="s">
        <v>127</v>
      </c>
      <c r="B127" s="145">
        <v>9</v>
      </c>
      <c r="C127" s="159"/>
      <c r="D127" s="159"/>
      <c r="E127" s="159"/>
    </row>
    <row r="128" spans="1:5" ht="18" customHeight="1" x14ac:dyDescent="0.3">
      <c r="A128" s="168" t="s">
        <v>100</v>
      </c>
      <c r="B128" s="145">
        <v>10</v>
      </c>
      <c r="C128" s="159"/>
      <c r="D128" s="159"/>
      <c r="E128" s="159"/>
    </row>
    <row r="129" spans="1:5" x14ac:dyDescent="0.3">
      <c r="A129" s="164"/>
      <c r="B129" s="164"/>
      <c r="C129" s="159"/>
      <c r="D129" s="159"/>
      <c r="E129" s="159"/>
    </row>
    <row r="130" spans="1:5" x14ac:dyDescent="0.3">
      <c r="A130" s="159"/>
      <c r="B130" s="159"/>
      <c r="C130" s="159"/>
      <c r="D130" s="159"/>
      <c r="E130" s="159"/>
    </row>
    <row r="131" spans="1:5" ht="30.75" customHeight="1" x14ac:dyDescent="0.3">
      <c r="A131" s="170" t="s">
        <v>196</v>
      </c>
      <c r="B131" s="159"/>
      <c r="C131" s="159"/>
      <c r="D131" s="159"/>
      <c r="E131" s="159"/>
    </row>
    <row r="132" spans="1:5" ht="33" customHeight="1" x14ac:dyDescent="0.3">
      <c r="A132" s="219" t="s">
        <v>69</v>
      </c>
      <c r="B132" s="219" t="s">
        <v>70</v>
      </c>
      <c r="C132" s="159"/>
      <c r="D132" s="159"/>
      <c r="E132" s="159"/>
    </row>
    <row r="133" spans="1:5" ht="18" customHeight="1" x14ac:dyDescent="0.3">
      <c r="A133" s="168" t="s">
        <v>4</v>
      </c>
      <c r="B133" s="123">
        <v>1</v>
      </c>
      <c r="C133" s="159"/>
      <c r="D133" s="159"/>
      <c r="E133" s="159"/>
    </row>
    <row r="134" spans="1:5" ht="18" customHeight="1" x14ac:dyDescent="0.3">
      <c r="A134" s="168" t="s">
        <v>3</v>
      </c>
      <c r="B134" s="123">
        <v>2</v>
      </c>
      <c r="C134" s="159"/>
      <c r="D134" s="159"/>
      <c r="E134" s="159"/>
    </row>
    <row r="135" spans="1:5" ht="18" customHeight="1" x14ac:dyDescent="0.3">
      <c r="A135" s="168" t="s">
        <v>93</v>
      </c>
      <c r="B135" s="123">
        <v>3</v>
      </c>
      <c r="C135" s="159"/>
      <c r="D135" s="159"/>
      <c r="E135" s="159"/>
    </row>
    <row r="136" spans="1:5" ht="18" customHeight="1" x14ac:dyDescent="0.3">
      <c r="A136" s="168" t="s">
        <v>104</v>
      </c>
      <c r="B136" s="123">
        <v>4</v>
      </c>
      <c r="C136" s="159"/>
      <c r="D136" s="159"/>
      <c r="E136" s="159"/>
    </row>
    <row r="137" spans="1:5" ht="18" customHeight="1" x14ac:dyDescent="0.3">
      <c r="A137" s="168" t="s">
        <v>85</v>
      </c>
      <c r="B137" s="123">
        <v>5</v>
      </c>
      <c r="C137" s="159"/>
      <c r="D137" s="159"/>
      <c r="E137" s="159"/>
    </row>
    <row r="138" spans="1:5" ht="18" customHeight="1" x14ac:dyDescent="0.3">
      <c r="A138" s="168" t="s">
        <v>108</v>
      </c>
      <c r="B138" s="123">
        <v>6</v>
      </c>
      <c r="C138" s="159"/>
      <c r="D138" s="159"/>
      <c r="E138" s="159"/>
    </row>
    <row r="139" spans="1:5" ht="18" customHeight="1" x14ac:dyDescent="0.3">
      <c r="A139" s="168" t="s">
        <v>109</v>
      </c>
      <c r="B139" s="123">
        <v>7</v>
      </c>
      <c r="C139" s="159"/>
      <c r="D139" s="159"/>
      <c r="E139" s="159"/>
    </row>
    <row r="140" spans="1:5" ht="18" customHeight="1" x14ac:dyDescent="0.3">
      <c r="A140" s="168" t="s">
        <v>106</v>
      </c>
      <c r="B140" s="123">
        <v>8</v>
      </c>
      <c r="C140" s="159"/>
      <c r="D140" s="159"/>
      <c r="E140" s="159"/>
    </row>
    <row r="141" spans="1:5" ht="18" customHeight="1" x14ac:dyDescent="0.3">
      <c r="A141" s="168" t="s">
        <v>84</v>
      </c>
      <c r="B141" s="123">
        <v>9</v>
      </c>
      <c r="C141" s="159"/>
      <c r="D141" s="159"/>
      <c r="E141" s="159"/>
    </row>
    <row r="142" spans="1:5" ht="18" customHeight="1" x14ac:dyDescent="0.3">
      <c r="A142" s="168" t="s">
        <v>87</v>
      </c>
      <c r="B142" s="123">
        <v>10</v>
      </c>
      <c r="C142" s="159"/>
      <c r="D142" s="159"/>
      <c r="E142" s="159"/>
    </row>
    <row r="143" spans="1:5" x14ac:dyDescent="0.3">
      <c r="A143" s="159"/>
      <c r="B143" s="159"/>
      <c r="C143" s="159"/>
      <c r="D143" s="159"/>
      <c r="E143" s="159"/>
    </row>
    <row r="144" spans="1:5" x14ac:dyDescent="0.3">
      <c r="A144" s="159"/>
      <c r="B144" s="159"/>
      <c r="C144" s="159"/>
      <c r="D144" s="159"/>
      <c r="E144" s="159"/>
    </row>
    <row r="145" spans="1:5" ht="30" customHeight="1" x14ac:dyDescent="0.3">
      <c r="A145" s="170" t="s">
        <v>197</v>
      </c>
      <c r="B145" s="159"/>
      <c r="C145" s="159"/>
      <c r="D145" s="159"/>
      <c r="E145" s="159"/>
    </row>
    <row r="146" spans="1:5" ht="32.25" customHeight="1" x14ac:dyDescent="0.3">
      <c r="A146" s="219" t="s">
        <v>69</v>
      </c>
      <c r="B146" s="218" t="s">
        <v>70</v>
      </c>
      <c r="C146" s="159"/>
      <c r="D146" s="159"/>
      <c r="E146" s="159"/>
    </row>
    <row r="147" spans="1:5" ht="18" customHeight="1" x14ac:dyDescent="0.3">
      <c r="A147" s="168" t="s">
        <v>62</v>
      </c>
      <c r="B147" s="19">
        <v>1</v>
      </c>
      <c r="C147" s="159"/>
      <c r="D147" s="159"/>
      <c r="E147" s="159"/>
    </row>
    <row r="148" spans="1:5" ht="18" customHeight="1" x14ac:dyDescent="0.3">
      <c r="A148" s="168" t="s">
        <v>58</v>
      </c>
      <c r="B148" s="19">
        <v>2</v>
      </c>
      <c r="C148" s="159"/>
      <c r="D148" s="159"/>
      <c r="E148" s="159"/>
    </row>
    <row r="149" spans="1:5" ht="18" customHeight="1" x14ac:dyDescent="0.3">
      <c r="A149" s="168" t="s">
        <v>64</v>
      </c>
      <c r="B149" s="19">
        <v>3</v>
      </c>
      <c r="C149" s="159"/>
      <c r="D149" s="159"/>
      <c r="E149" s="159"/>
    </row>
    <row r="150" spans="1:5" ht="18" customHeight="1" x14ac:dyDescent="0.3">
      <c r="A150" s="168" t="s">
        <v>59</v>
      </c>
      <c r="B150" s="19">
        <v>4</v>
      </c>
      <c r="C150" s="159"/>
      <c r="D150" s="159"/>
      <c r="E150" s="159"/>
    </row>
    <row r="151" spans="1:5" ht="18" customHeight="1" x14ac:dyDescent="0.3">
      <c r="A151" s="168" t="s">
        <v>61</v>
      </c>
      <c r="B151" s="19">
        <v>5</v>
      </c>
      <c r="C151" s="159"/>
      <c r="D151" s="159"/>
      <c r="E151" s="159"/>
    </row>
    <row r="152" spans="1:5" ht="18" customHeight="1" x14ac:dyDescent="0.3">
      <c r="A152" s="168" t="s">
        <v>5</v>
      </c>
      <c r="B152" s="19">
        <v>6</v>
      </c>
      <c r="C152" s="159"/>
      <c r="D152" s="159"/>
      <c r="E152" s="159"/>
    </row>
    <row r="153" spans="1:5" ht="18" customHeight="1" x14ac:dyDescent="0.3">
      <c r="A153" s="168" t="s">
        <v>6</v>
      </c>
      <c r="B153" s="19">
        <v>7</v>
      </c>
      <c r="C153" s="159"/>
      <c r="D153" s="159"/>
      <c r="E153" s="159"/>
    </row>
    <row r="154" spans="1:5" ht="18" customHeight="1" x14ac:dyDescent="0.3">
      <c r="A154" s="168" t="s">
        <v>96</v>
      </c>
      <c r="B154" s="19">
        <v>8</v>
      </c>
      <c r="C154" s="159"/>
      <c r="D154" s="159"/>
      <c r="E154" s="159"/>
    </row>
    <row r="155" spans="1:5" ht="18" customHeight="1" x14ac:dyDescent="0.3">
      <c r="A155" s="168" t="s">
        <v>110</v>
      </c>
      <c r="B155" s="19">
        <v>9</v>
      </c>
      <c r="C155" s="159"/>
      <c r="D155" s="159"/>
      <c r="E155" s="159"/>
    </row>
    <row r="156" spans="1:5" ht="18" customHeight="1" x14ac:dyDescent="0.3">
      <c r="A156" s="168" t="s">
        <v>174</v>
      </c>
      <c r="B156" s="19">
        <v>10</v>
      </c>
      <c r="C156" s="159"/>
      <c r="D156" s="159"/>
      <c r="E156" s="159"/>
    </row>
    <row r="157" spans="1:5" x14ac:dyDescent="0.3">
      <c r="A157" s="159"/>
      <c r="B157" s="159"/>
      <c r="C157" s="159"/>
      <c r="D157" s="159"/>
      <c r="E157" s="159"/>
    </row>
    <row r="158" spans="1:5" x14ac:dyDescent="0.3">
      <c r="A158" s="159"/>
      <c r="B158" s="159"/>
      <c r="C158" s="159"/>
      <c r="D158" s="159"/>
      <c r="E158" s="159"/>
    </row>
    <row r="159" spans="1:5" ht="22.5" customHeight="1" x14ac:dyDescent="0.3">
      <c r="A159" s="170" t="s">
        <v>198</v>
      </c>
      <c r="B159" s="159"/>
      <c r="C159" s="159"/>
      <c r="D159" s="159"/>
      <c r="E159" s="159"/>
    </row>
    <row r="160" spans="1:5" ht="30" customHeight="1" x14ac:dyDescent="0.3">
      <c r="A160" s="219" t="s">
        <v>69</v>
      </c>
      <c r="B160" s="218" t="s">
        <v>70</v>
      </c>
      <c r="C160" s="159"/>
      <c r="D160" s="159"/>
      <c r="E160" s="159"/>
    </row>
    <row r="161" spans="1:5" ht="18" customHeight="1" x14ac:dyDescent="0.3">
      <c r="A161" s="168" t="s">
        <v>11</v>
      </c>
      <c r="B161" s="145">
        <v>1</v>
      </c>
      <c r="C161" s="159"/>
      <c r="D161" s="159"/>
      <c r="E161" s="159"/>
    </row>
    <row r="162" spans="1:5" ht="18" customHeight="1" x14ac:dyDescent="0.3">
      <c r="A162" s="168" t="s">
        <v>75</v>
      </c>
      <c r="B162" s="145">
        <v>2</v>
      </c>
      <c r="C162" s="159"/>
      <c r="D162" s="159"/>
      <c r="E162" s="159"/>
    </row>
    <row r="163" spans="1:5" ht="18" customHeight="1" x14ac:dyDescent="0.3">
      <c r="A163" s="168" t="s">
        <v>10</v>
      </c>
      <c r="B163" s="145">
        <v>3</v>
      </c>
      <c r="C163" s="159"/>
      <c r="D163" s="159"/>
      <c r="E163" s="159"/>
    </row>
    <row r="164" spans="1:5" ht="18" customHeight="1" x14ac:dyDescent="0.3">
      <c r="A164" s="168" t="s">
        <v>9</v>
      </c>
      <c r="B164" s="145">
        <v>4</v>
      </c>
      <c r="C164" s="159"/>
      <c r="D164" s="159"/>
      <c r="E164" s="159"/>
    </row>
    <row r="165" spans="1:5" ht="18" customHeight="1" x14ac:dyDescent="0.3">
      <c r="A165" s="168" t="s">
        <v>12</v>
      </c>
      <c r="B165" s="145">
        <v>5</v>
      </c>
      <c r="C165" s="159"/>
      <c r="D165" s="159"/>
      <c r="E165" s="159"/>
    </row>
    <row r="166" spans="1:5" ht="18" customHeight="1" x14ac:dyDescent="0.3">
      <c r="A166" s="168" t="s">
        <v>72</v>
      </c>
      <c r="B166" s="145">
        <v>6</v>
      </c>
      <c r="C166" s="159"/>
      <c r="D166" s="159"/>
      <c r="E166" s="159"/>
    </row>
    <row r="167" spans="1:5" ht="18" customHeight="1" x14ac:dyDescent="0.3">
      <c r="A167" s="168" t="s">
        <v>102</v>
      </c>
      <c r="B167" s="145">
        <v>7</v>
      </c>
      <c r="C167" s="159"/>
      <c r="D167" s="159"/>
      <c r="E167" s="159"/>
    </row>
    <row r="168" spans="1:5" ht="18" customHeight="1" x14ac:dyDescent="0.3">
      <c r="A168" s="168" t="s">
        <v>8</v>
      </c>
      <c r="B168" s="145">
        <v>8</v>
      </c>
      <c r="C168" s="159"/>
      <c r="D168" s="159"/>
      <c r="E168" s="159"/>
    </row>
    <row r="169" spans="1:5" ht="18" customHeight="1" x14ac:dyDescent="0.3">
      <c r="A169" s="168" t="s">
        <v>91</v>
      </c>
      <c r="B169" s="145">
        <v>9</v>
      </c>
      <c r="C169" s="159"/>
      <c r="D169" s="159"/>
      <c r="E169" s="159"/>
    </row>
    <row r="170" spans="1:5" ht="18" customHeight="1" x14ac:dyDescent="0.3">
      <c r="A170" s="168" t="s">
        <v>112</v>
      </c>
      <c r="B170" s="145">
        <v>10</v>
      </c>
      <c r="C170" s="159"/>
      <c r="D170" s="159"/>
      <c r="E170" s="159"/>
    </row>
    <row r="171" spans="1:5" x14ac:dyDescent="0.3">
      <c r="A171" s="159"/>
      <c r="B171" s="159"/>
      <c r="C171" s="159"/>
      <c r="D171" s="159"/>
      <c r="E171" s="159"/>
    </row>
    <row r="172" spans="1:5" x14ac:dyDescent="0.3">
      <c r="A172" s="159"/>
      <c r="B172" s="159"/>
      <c r="C172" s="159"/>
      <c r="D172" s="159"/>
      <c r="E172" s="159"/>
    </row>
    <row r="173" spans="1:5" ht="23.25" customHeight="1" x14ac:dyDescent="0.3">
      <c r="A173" s="1" t="s">
        <v>199</v>
      </c>
      <c r="B173" s="159"/>
      <c r="C173" s="159"/>
      <c r="D173" s="159"/>
      <c r="E173" s="159"/>
    </row>
    <row r="174" spans="1:5" s="14" customFormat="1" ht="18" customHeight="1" x14ac:dyDescent="0.3">
      <c r="A174" s="13" t="s">
        <v>200</v>
      </c>
      <c r="B174" s="164"/>
      <c r="C174" s="164"/>
      <c r="D174" s="164"/>
      <c r="E174" s="164"/>
    </row>
    <row r="175" spans="1:5" ht="36.75" customHeight="1" x14ac:dyDescent="0.3">
      <c r="A175" s="219" t="s">
        <v>69</v>
      </c>
      <c r="B175" s="218" t="s">
        <v>70</v>
      </c>
      <c r="C175" s="159"/>
      <c r="D175" s="159"/>
      <c r="E175" s="159"/>
    </row>
    <row r="176" spans="1:5" ht="18" customHeight="1" x14ac:dyDescent="0.3">
      <c r="A176" s="171" t="s">
        <v>62</v>
      </c>
      <c r="B176" s="172">
        <v>1</v>
      </c>
      <c r="C176" s="159"/>
      <c r="D176" s="159"/>
      <c r="E176" s="159"/>
    </row>
    <row r="177" spans="1:5" ht="18" customHeight="1" x14ac:dyDescent="0.3">
      <c r="A177" s="171" t="s">
        <v>75</v>
      </c>
      <c r="B177" s="172">
        <v>2</v>
      </c>
      <c r="C177" s="159"/>
      <c r="D177" s="159"/>
      <c r="E177" s="159"/>
    </row>
    <row r="178" spans="1:5" ht="18" customHeight="1" x14ac:dyDescent="0.3">
      <c r="A178" s="171" t="s">
        <v>64</v>
      </c>
      <c r="B178" s="172">
        <v>3</v>
      </c>
      <c r="C178" s="159"/>
      <c r="D178" s="159"/>
      <c r="E178" s="159"/>
    </row>
    <row r="179" spans="1:5" ht="18" customHeight="1" x14ac:dyDescent="0.3">
      <c r="A179" s="171" t="s">
        <v>76</v>
      </c>
      <c r="B179" s="172">
        <v>4</v>
      </c>
      <c r="C179" s="159"/>
      <c r="D179" s="159"/>
      <c r="E179" s="159"/>
    </row>
    <row r="180" spans="1:5" ht="18" customHeight="1" x14ac:dyDescent="0.3">
      <c r="A180" s="171" t="s">
        <v>59</v>
      </c>
      <c r="B180" s="172">
        <v>5</v>
      </c>
      <c r="C180" s="159"/>
      <c r="D180" s="159"/>
      <c r="E180" s="159"/>
    </row>
    <row r="181" spans="1:5" ht="18" customHeight="1" x14ac:dyDescent="0.3">
      <c r="A181" s="171" t="s">
        <v>10</v>
      </c>
      <c r="B181" s="172">
        <v>6</v>
      </c>
      <c r="C181" s="159"/>
      <c r="D181" s="159"/>
      <c r="E181" s="159"/>
    </row>
    <row r="182" spans="1:5" ht="18" customHeight="1" x14ac:dyDescent="0.3">
      <c r="A182" s="171" t="s">
        <v>72</v>
      </c>
      <c r="B182" s="172">
        <v>7</v>
      </c>
      <c r="C182" s="159"/>
      <c r="D182" s="159"/>
      <c r="E182" s="159"/>
    </row>
    <row r="183" spans="1:5" ht="18" customHeight="1" x14ac:dyDescent="0.3">
      <c r="A183" s="171" t="s">
        <v>86</v>
      </c>
      <c r="B183" s="172">
        <v>8</v>
      </c>
      <c r="C183" s="159"/>
      <c r="D183" s="159"/>
      <c r="E183" s="159"/>
    </row>
    <row r="184" spans="1:5" ht="18" customHeight="1" x14ac:dyDescent="0.3">
      <c r="A184" s="171" t="s">
        <v>96</v>
      </c>
      <c r="B184" s="172">
        <v>9</v>
      </c>
      <c r="C184" s="159"/>
      <c r="D184" s="159"/>
      <c r="E184" s="159"/>
    </row>
    <row r="185" spans="1:5" ht="18" customHeight="1" x14ac:dyDescent="0.3">
      <c r="A185" s="171" t="s">
        <v>110</v>
      </c>
      <c r="B185" s="172">
        <v>10</v>
      </c>
      <c r="C185" s="159"/>
      <c r="D185" s="159"/>
      <c r="E185" s="159"/>
    </row>
    <row r="186" spans="1:5" x14ac:dyDescent="0.3">
      <c r="A186" s="159"/>
      <c r="B186" s="159"/>
      <c r="C186" s="159"/>
      <c r="D186" s="159"/>
      <c r="E186" s="159"/>
    </row>
    <row r="187" spans="1:5" x14ac:dyDescent="0.3">
      <c r="A187" s="159"/>
      <c r="B187" s="159"/>
      <c r="C187" s="159"/>
      <c r="D187" s="159"/>
      <c r="E187" s="159"/>
    </row>
    <row r="188" spans="1:5" ht="23.25" customHeight="1" x14ac:dyDescent="0.3">
      <c r="A188" s="173" t="s">
        <v>201</v>
      </c>
      <c r="B188" s="159"/>
      <c r="C188" s="159"/>
      <c r="D188" s="159"/>
      <c r="E188" s="159"/>
    </row>
    <row r="189" spans="1:5" ht="38.25" customHeight="1" x14ac:dyDescent="0.3">
      <c r="A189" s="251" t="s">
        <v>69</v>
      </c>
      <c r="B189" s="250" t="s">
        <v>70</v>
      </c>
      <c r="C189" s="159"/>
      <c r="D189" s="159"/>
      <c r="E189" s="159"/>
    </row>
    <row r="190" spans="1:5" ht="18" customHeight="1" x14ac:dyDescent="0.3">
      <c r="A190" s="171" t="s">
        <v>10</v>
      </c>
      <c r="B190" s="17">
        <v>1</v>
      </c>
      <c r="C190" s="159"/>
      <c r="D190" s="159"/>
      <c r="E190" s="159"/>
    </row>
    <row r="191" spans="1:5" ht="18" customHeight="1" x14ac:dyDescent="0.3">
      <c r="A191" s="171" t="s">
        <v>9</v>
      </c>
      <c r="B191" s="17">
        <v>2</v>
      </c>
      <c r="C191" s="159"/>
      <c r="D191" s="159"/>
      <c r="E191" s="159"/>
    </row>
    <row r="192" spans="1:5" ht="18" customHeight="1" x14ac:dyDescent="0.3">
      <c r="A192" s="171" t="s">
        <v>3</v>
      </c>
      <c r="B192" s="17">
        <v>3</v>
      </c>
      <c r="C192" s="159"/>
      <c r="D192" s="159"/>
      <c r="E192" s="159"/>
    </row>
    <row r="193" spans="1:6" ht="18" customHeight="1" x14ac:dyDescent="0.3">
      <c r="A193" s="171" t="s">
        <v>105</v>
      </c>
      <c r="B193" s="17">
        <v>4</v>
      </c>
      <c r="C193" s="159"/>
      <c r="D193" s="159"/>
      <c r="E193" s="159"/>
    </row>
    <row r="194" spans="1:6" ht="18" customHeight="1" x14ac:dyDescent="0.3">
      <c r="A194" s="171" t="s">
        <v>12</v>
      </c>
      <c r="B194" s="17">
        <v>5</v>
      </c>
      <c r="C194" s="159"/>
      <c r="D194" s="159"/>
      <c r="E194" s="159"/>
    </row>
    <row r="195" spans="1:6" ht="18" customHeight="1" x14ac:dyDescent="0.3">
      <c r="A195" s="171" t="s">
        <v>182</v>
      </c>
      <c r="B195" s="17">
        <v>6</v>
      </c>
      <c r="C195" s="159"/>
      <c r="D195" s="159"/>
      <c r="E195" s="159"/>
    </row>
    <row r="196" spans="1:6" ht="18" customHeight="1" x14ac:dyDescent="0.3">
      <c r="A196" s="171" t="s">
        <v>175</v>
      </c>
      <c r="B196" s="17">
        <v>7</v>
      </c>
      <c r="C196" s="159"/>
      <c r="D196" s="159"/>
      <c r="E196" s="159"/>
    </row>
    <row r="197" spans="1:6" ht="18" customHeight="1" x14ac:dyDescent="0.3">
      <c r="A197" s="171" t="s">
        <v>4</v>
      </c>
      <c r="B197" s="17">
        <v>8</v>
      </c>
      <c r="C197" s="159"/>
      <c r="D197" s="159"/>
      <c r="E197" s="159"/>
    </row>
    <row r="198" spans="1:6" ht="18" customHeight="1" x14ac:dyDescent="0.3">
      <c r="A198" s="171" t="s">
        <v>84</v>
      </c>
      <c r="B198" s="17">
        <v>9</v>
      </c>
      <c r="C198" s="159"/>
      <c r="D198" s="159"/>
      <c r="E198" s="159"/>
    </row>
    <row r="199" spans="1:6" ht="18" customHeight="1" x14ac:dyDescent="0.3">
      <c r="A199" s="171" t="s">
        <v>85</v>
      </c>
      <c r="B199" s="17">
        <v>10</v>
      </c>
      <c r="C199" s="159"/>
      <c r="D199" s="159"/>
      <c r="E199" s="159"/>
    </row>
    <row r="200" spans="1:6" x14ac:dyDescent="0.3">
      <c r="A200" s="159"/>
      <c r="B200" s="159"/>
      <c r="C200" s="159"/>
      <c r="D200" s="159"/>
      <c r="E200" s="159"/>
    </row>
    <row r="201" spans="1:6" x14ac:dyDescent="0.3">
      <c r="A201" s="159"/>
      <c r="B201" s="159"/>
      <c r="C201" s="159"/>
      <c r="D201" s="159"/>
      <c r="E201" s="159"/>
    </row>
    <row r="202" spans="1:6" ht="18.75" customHeight="1" x14ac:dyDescent="0.3">
      <c r="A202" s="173" t="s">
        <v>202</v>
      </c>
      <c r="B202" s="159"/>
      <c r="C202" s="159"/>
      <c r="D202" s="159"/>
      <c r="E202" s="159"/>
    </row>
    <row r="203" spans="1:6" ht="36.75" customHeight="1" x14ac:dyDescent="0.3">
      <c r="A203" s="253" t="s">
        <v>69</v>
      </c>
      <c r="B203" s="252" t="s">
        <v>70</v>
      </c>
      <c r="C203" s="159"/>
      <c r="D203" s="159"/>
      <c r="E203" s="164"/>
      <c r="F203" s="14"/>
    </row>
    <row r="204" spans="1:6" ht="18" customHeight="1" x14ac:dyDescent="0.3">
      <c r="A204" s="171" t="s">
        <v>11</v>
      </c>
      <c r="B204" s="174">
        <v>1</v>
      </c>
      <c r="C204" s="159"/>
      <c r="D204" s="159"/>
      <c r="E204" s="175"/>
      <c r="F204" s="14"/>
    </row>
    <row r="205" spans="1:6" ht="18" customHeight="1" x14ac:dyDescent="0.3">
      <c r="A205" s="171" t="s">
        <v>88</v>
      </c>
      <c r="B205" s="174">
        <v>2</v>
      </c>
      <c r="C205" s="159"/>
      <c r="D205" s="159"/>
      <c r="E205" s="176"/>
      <c r="F205" s="14"/>
    </row>
    <row r="206" spans="1:6" ht="18" customHeight="1" x14ac:dyDescent="0.3">
      <c r="A206" s="171" t="s">
        <v>12</v>
      </c>
      <c r="B206" s="174">
        <v>3</v>
      </c>
      <c r="C206" s="159"/>
      <c r="D206" s="159"/>
      <c r="E206" s="176"/>
      <c r="F206" s="14"/>
    </row>
    <row r="207" spans="1:6" ht="18" customHeight="1" x14ac:dyDescent="0.3">
      <c r="A207" s="171" t="s">
        <v>102</v>
      </c>
      <c r="B207" s="174">
        <v>4</v>
      </c>
      <c r="C207" s="159"/>
      <c r="D207" s="159"/>
      <c r="E207" s="176"/>
      <c r="F207" s="14"/>
    </row>
    <row r="208" spans="1:6" ht="18" customHeight="1" x14ac:dyDescent="0.3">
      <c r="A208" s="171" t="s">
        <v>8</v>
      </c>
      <c r="B208" s="174">
        <v>5</v>
      </c>
      <c r="C208" s="159"/>
      <c r="D208" s="159"/>
      <c r="E208" s="176"/>
      <c r="F208" s="14"/>
    </row>
    <row r="209" spans="1:6" ht="18" customHeight="1" x14ac:dyDescent="0.3">
      <c r="A209" s="171" t="s">
        <v>74</v>
      </c>
      <c r="B209" s="174">
        <v>6</v>
      </c>
      <c r="C209" s="159"/>
      <c r="D209" s="159"/>
      <c r="E209" s="176"/>
      <c r="F209" s="14"/>
    </row>
    <row r="210" spans="1:6" ht="18" customHeight="1" x14ac:dyDescent="0.3">
      <c r="A210" s="171" t="s">
        <v>165</v>
      </c>
      <c r="B210" s="174">
        <v>7</v>
      </c>
      <c r="C210" s="159"/>
      <c r="D210" s="159"/>
      <c r="E210" s="176"/>
      <c r="F210" s="14"/>
    </row>
    <row r="211" spans="1:6" ht="18" customHeight="1" x14ac:dyDescent="0.3">
      <c r="A211" s="171" t="s">
        <v>9</v>
      </c>
      <c r="B211" s="174">
        <v>8</v>
      </c>
      <c r="C211" s="159"/>
      <c r="D211" s="159"/>
      <c r="E211" s="176"/>
      <c r="F211" s="14"/>
    </row>
    <row r="212" spans="1:6" ht="18" customHeight="1" x14ac:dyDescent="0.3">
      <c r="A212" s="171" t="s">
        <v>111</v>
      </c>
      <c r="B212" s="174">
        <v>9</v>
      </c>
      <c r="C212" s="159"/>
      <c r="D212" s="159"/>
      <c r="E212" s="176"/>
      <c r="F212" s="14"/>
    </row>
    <row r="213" spans="1:6" ht="18" customHeight="1" x14ac:dyDescent="0.3">
      <c r="A213" s="171" t="s">
        <v>103</v>
      </c>
      <c r="B213" s="174">
        <v>10</v>
      </c>
      <c r="C213" s="159"/>
      <c r="D213" s="159"/>
      <c r="E213" s="176"/>
      <c r="F213" s="14"/>
    </row>
    <row r="214" spans="1:6" x14ac:dyDescent="0.3">
      <c r="A214" s="159"/>
      <c r="B214" s="159"/>
      <c r="C214" s="159"/>
      <c r="D214" s="159"/>
      <c r="E214" s="159"/>
    </row>
    <row r="215" spans="1:6" x14ac:dyDescent="0.3">
      <c r="A215" s="159"/>
      <c r="B215" s="159"/>
      <c r="C215" s="159"/>
      <c r="D215" s="159"/>
      <c r="E215" s="159"/>
    </row>
    <row r="216" spans="1:6" x14ac:dyDescent="0.3">
      <c r="A216" s="159"/>
      <c r="B216" s="159"/>
      <c r="C216" s="159"/>
      <c r="D216" s="159"/>
      <c r="E216" s="159"/>
    </row>
    <row r="217" spans="1:6" ht="21.75" customHeight="1" x14ac:dyDescent="0.3">
      <c r="A217" s="15" t="s">
        <v>203</v>
      </c>
      <c r="B217" s="159"/>
      <c r="C217" s="159"/>
      <c r="D217" s="159"/>
      <c r="E217" s="159"/>
    </row>
    <row r="218" spans="1:6" ht="36.75" customHeight="1" x14ac:dyDescent="0.3">
      <c r="A218" s="253" t="s">
        <v>69</v>
      </c>
      <c r="B218" s="253" t="s">
        <v>70</v>
      </c>
      <c r="C218" s="159"/>
      <c r="D218" s="159"/>
      <c r="E218" s="159"/>
    </row>
    <row r="219" spans="1:6" ht="18" customHeight="1" x14ac:dyDescent="0.3">
      <c r="A219" s="171" t="s">
        <v>61</v>
      </c>
      <c r="B219" s="177">
        <v>1</v>
      </c>
      <c r="C219" s="159"/>
      <c r="D219" s="159"/>
      <c r="E219" s="159"/>
    </row>
    <row r="220" spans="1:6" ht="18" customHeight="1" x14ac:dyDescent="0.3">
      <c r="A220" s="171" t="s">
        <v>3</v>
      </c>
      <c r="B220" s="177">
        <v>2</v>
      </c>
      <c r="C220" s="159"/>
      <c r="D220" s="159"/>
      <c r="E220" s="159"/>
    </row>
    <row r="221" spans="1:6" ht="18" customHeight="1" x14ac:dyDescent="0.3">
      <c r="A221" s="171" t="s">
        <v>174</v>
      </c>
      <c r="B221" s="177">
        <v>3</v>
      </c>
      <c r="C221" s="159"/>
      <c r="D221" s="159"/>
      <c r="E221" s="159"/>
    </row>
    <row r="222" spans="1:6" ht="18" customHeight="1" x14ac:dyDescent="0.3">
      <c r="A222" s="171" t="s">
        <v>59</v>
      </c>
      <c r="B222" s="177">
        <v>4</v>
      </c>
      <c r="C222" s="159"/>
      <c r="D222" s="159"/>
      <c r="E222" s="159"/>
    </row>
    <row r="223" spans="1:6" ht="18" customHeight="1" x14ac:dyDescent="0.3">
      <c r="A223" s="171" t="s">
        <v>108</v>
      </c>
      <c r="B223" s="177">
        <v>5</v>
      </c>
      <c r="C223" s="159"/>
      <c r="D223" s="159"/>
      <c r="E223" s="159"/>
    </row>
    <row r="224" spans="1:6" ht="18" customHeight="1" x14ac:dyDescent="0.3">
      <c r="A224" s="171" t="s">
        <v>93</v>
      </c>
      <c r="B224" s="177">
        <v>6</v>
      </c>
      <c r="C224" s="159"/>
      <c r="D224" s="159"/>
      <c r="E224" s="159"/>
    </row>
    <row r="225" spans="1:5" ht="18" customHeight="1" x14ac:dyDescent="0.3">
      <c r="A225" s="171" t="s">
        <v>112</v>
      </c>
      <c r="B225" s="177">
        <v>7</v>
      </c>
      <c r="C225" s="159"/>
      <c r="D225" s="159"/>
      <c r="E225" s="159"/>
    </row>
    <row r="226" spans="1:5" ht="18" customHeight="1" x14ac:dyDescent="0.3">
      <c r="A226" s="171" t="s">
        <v>97</v>
      </c>
      <c r="B226" s="177">
        <v>8</v>
      </c>
      <c r="C226" s="159"/>
      <c r="D226" s="159"/>
      <c r="E226" s="159"/>
    </row>
    <row r="227" spans="1:5" ht="18" customHeight="1" x14ac:dyDescent="0.3">
      <c r="A227" s="171" t="s">
        <v>4</v>
      </c>
      <c r="B227" s="177">
        <v>9</v>
      </c>
      <c r="C227" s="159"/>
      <c r="D227" s="159"/>
      <c r="E227" s="159"/>
    </row>
    <row r="228" spans="1:5" ht="18" customHeight="1" x14ac:dyDescent="0.3">
      <c r="A228" s="171" t="s">
        <v>65</v>
      </c>
      <c r="B228" s="177">
        <v>10</v>
      </c>
      <c r="C228" s="159"/>
      <c r="D228" s="159"/>
      <c r="E228" s="159"/>
    </row>
    <row r="229" spans="1:5" x14ac:dyDescent="0.3">
      <c r="A229" s="159"/>
      <c r="B229" s="159"/>
      <c r="C229" s="159"/>
      <c r="D229" s="159"/>
      <c r="E229" s="159"/>
    </row>
    <row r="230" spans="1:5" x14ac:dyDescent="0.3">
      <c r="A230" s="159"/>
      <c r="B230" s="159"/>
      <c r="C230" s="159"/>
      <c r="D230" s="159"/>
      <c r="E230" s="159"/>
    </row>
    <row r="231" spans="1:5" ht="21" customHeight="1" x14ac:dyDescent="0.3">
      <c r="A231" s="173" t="s">
        <v>204</v>
      </c>
      <c r="B231" s="159"/>
      <c r="C231" s="159"/>
      <c r="D231" s="159"/>
      <c r="E231" s="159"/>
    </row>
    <row r="232" spans="1:5" ht="34.5" customHeight="1" x14ac:dyDescent="0.3">
      <c r="A232" s="253" t="s">
        <v>69</v>
      </c>
      <c r="B232" s="253" t="s">
        <v>70</v>
      </c>
      <c r="C232" s="159"/>
      <c r="D232" s="159"/>
      <c r="E232" s="159"/>
    </row>
    <row r="233" spans="1:5" ht="18" customHeight="1" x14ac:dyDescent="0.3">
      <c r="A233" s="64" t="s">
        <v>163</v>
      </c>
      <c r="B233" s="177">
        <v>1</v>
      </c>
      <c r="C233" s="159"/>
      <c r="D233" s="159"/>
      <c r="E233" s="159"/>
    </row>
    <row r="234" spans="1:5" ht="18" customHeight="1" x14ac:dyDescent="0.3">
      <c r="A234" s="64" t="s">
        <v>62</v>
      </c>
      <c r="B234" s="177">
        <v>2</v>
      </c>
      <c r="C234" s="159"/>
      <c r="D234" s="159"/>
      <c r="E234" s="159"/>
    </row>
    <row r="235" spans="1:5" ht="18" customHeight="1" x14ac:dyDescent="0.3">
      <c r="A235" s="64" t="s">
        <v>2</v>
      </c>
      <c r="B235" s="177">
        <v>3</v>
      </c>
      <c r="C235" s="159"/>
      <c r="D235" s="159"/>
      <c r="E235" s="159"/>
    </row>
    <row r="236" spans="1:5" ht="18" customHeight="1" x14ac:dyDescent="0.3">
      <c r="A236" s="64" t="s">
        <v>67</v>
      </c>
      <c r="B236" s="177">
        <v>4</v>
      </c>
      <c r="C236" s="159"/>
      <c r="D236" s="159"/>
      <c r="E236" s="159"/>
    </row>
    <row r="237" spans="1:5" ht="18" customHeight="1" x14ac:dyDescent="0.3">
      <c r="A237" s="64" t="s">
        <v>179</v>
      </c>
      <c r="B237" s="177">
        <v>5</v>
      </c>
      <c r="C237" s="159"/>
      <c r="D237" s="159"/>
      <c r="E237" s="159"/>
    </row>
    <row r="238" spans="1:5" ht="18" customHeight="1" x14ac:dyDescent="0.3">
      <c r="A238" s="64" t="s">
        <v>164</v>
      </c>
      <c r="B238" s="177">
        <v>6</v>
      </c>
      <c r="C238" s="159"/>
      <c r="D238" s="159"/>
      <c r="E238" s="159"/>
    </row>
    <row r="239" spans="1:5" ht="18" customHeight="1" x14ac:dyDescent="0.3">
      <c r="A239" s="64" t="s">
        <v>177</v>
      </c>
      <c r="B239" s="177">
        <v>7</v>
      </c>
      <c r="C239" s="159"/>
      <c r="D239" s="159"/>
      <c r="E239" s="159"/>
    </row>
    <row r="240" spans="1:5" ht="18" customHeight="1" x14ac:dyDescent="0.3">
      <c r="A240" s="64" t="s">
        <v>178</v>
      </c>
      <c r="B240" s="177">
        <v>8</v>
      </c>
      <c r="C240" s="159"/>
      <c r="D240" s="159"/>
      <c r="E240" s="159"/>
    </row>
    <row r="241" spans="1:5" ht="18" customHeight="1" x14ac:dyDescent="0.3">
      <c r="A241" s="64" t="s">
        <v>92</v>
      </c>
      <c r="B241" s="177">
        <v>9</v>
      </c>
      <c r="C241" s="159"/>
      <c r="D241" s="159"/>
      <c r="E241" s="159"/>
    </row>
    <row r="242" spans="1:5" ht="18" customHeight="1" x14ac:dyDescent="0.3">
      <c r="A242" s="64" t="s">
        <v>176</v>
      </c>
      <c r="B242" s="177">
        <v>10</v>
      </c>
      <c r="C242" s="159"/>
      <c r="D242" s="159"/>
      <c r="E242" s="159"/>
    </row>
    <row r="243" spans="1:5" x14ac:dyDescent="0.3">
      <c r="A243" s="159"/>
      <c r="B243" s="159"/>
      <c r="C243" s="159"/>
      <c r="D243" s="159"/>
      <c r="E243" s="159"/>
    </row>
    <row r="244" spans="1:5" x14ac:dyDescent="0.3">
      <c r="A244" s="159"/>
      <c r="B244" s="159"/>
      <c r="C244" s="159"/>
      <c r="D244" s="159"/>
      <c r="E244" s="159"/>
    </row>
    <row r="245" spans="1:5" ht="20.25" customHeight="1" x14ac:dyDescent="0.3">
      <c r="A245" s="173" t="s">
        <v>205</v>
      </c>
      <c r="B245" s="159"/>
      <c r="C245" s="159"/>
      <c r="D245" s="159"/>
      <c r="E245" s="159"/>
    </row>
    <row r="246" spans="1:5" ht="31.5" customHeight="1" x14ac:dyDescent="0.3">
      <c r="A246" s="253" t="s">
        <v>69</v>
      </c>
      <c r="B246" s="253" t="s">
        <v>70</v>
      </c>
      <c r="C246" s="159"/>
      <c r="D246" s="159"/>
      <c r="E246" s="159"/>
    </row>
    <row r="247" spans="1:5" ht="18" customHeight="1" x14ac:dyDescent="0.3">
      <c r="A247" s="166" t="s">
        <v>106</v>
      </c>
      <c r="B247" s="178">
        <v>1</v>
      </c>
      <c r="C247" s="159"/>
      <c r="E247" s="159"/>
    </row>
    <row r="248" spans="1:5" ht="27.6" customHeight="1" x14ac:dyDescent="0.3">
      <c r="A248" s="166" t="s">
        <v>109</v>
      </c>
      <c r="B248" s="178">
        <v>2</v>
      </c>
      <c r="C248" s="159"/>
      <c r="E248" s="159"/>
    </row>
    <row r="249" spans="1:5" ht="18" customHeight="1" x14ac:dyDescent="0.3">
      <c r="A249" s="166" t="s">
        <v>181</v>
      </c>
      <c r="B249" s="178">
        <v>3</v>
      </c>
      <c r="C249" s="159"/>
      <c r="E249" s="159"/>
    </row>
    <row r="250" spans="1:5" ht="18" customHeight="1" x14ac:dyDescent="0.3">
      <c r="A250" s="166" t="s">
        <v>82</v>
      </c>
      <c r="B250" s="178">
        <v>4</v>
      </c>
      <c r="C250" s="159"/>
      <c r="E250" s="159"/>
    </row>
    <row r="251" spans="1:5" ht="25.2" customHeight="1" x14ac:dyDescent="0.3">
      <c r="A251" s="166" t="s">
        <v>83</v>
      </c>
      <c r="B251" s="178">
        <v>5</v>
      </c>
      <c r="C251" s="159"/>
      <c r="E251" s="159"/>
    </row>
    <row r="252" spans="1:5" ht="25.8" customHeight="1" x14ac:dyDescent="0.3">
      <c r="A252" s="166" t="s">
        <v>4</v>
      </c>
      <c r="B252" s="178">
        <v>6</v>
      </c>
      <c r="C252" s="159"/>
      <c r="E252" s="159"/>
    </row>
    <row r="253" spans="1:5" ht="18" customHeight="1" x14ac:dyDescent="0.3">
      <c r="A253" s="166" t="s">
        <v>74</v>
      </c>
      <c r="B253" s="178">
        <v>7</v>
      </c>
      <c r="C253" s="159"/>
      <c r="E253" s="159"/>
    </row>
    <row r="254" spans="1:5" ht="18" customHeight="1" x14ac:dyDescent="0.3">
      <c r="A254" s="166" t="s">
        <v>180</v>
      </c>
      <c r="B254" s="178">
        <v>8</v>
      </c>
      <c r="C254" s="159"/>
      <c r="E254" s="159"/>
    </row>
    <row r="255" spans="1:5" ht="18" customHeight="1" x14ac:dyDescent="0.3">
      <c r="A255" s="166" t="s">
        <v>58</v>
      </c>
      <c r="B255" s="178">
        <v>9</v>
      </c>
      <c r="C255" s="159"/>
      <c r="E255" s="159"/>
    </row>
    <row r="256" spans="1:5" ht="28.2" customHeight="1" x14ac:dyDescent="0.3">
      <c r="A256" s="166" t="s">
        <v>101</v>
      </c>
      <c r="B256" s="178">
        <v>10</v>
      </c>
      <c r="C256" s="159"/>
      <c r="E256" s="159"/>
    </row>
  </sheetData>
  <mergeCells count="14">
    <mergeCell ref="A74:E74"/>
    <mergeCell ref="A80:E80"/>
    <mergeCell ref="A48:A49"/>
    <mergeCell ref="B48:E48"/>
    <mergeCell ref="A50:E50"/>
    <mergeCell ref="A56:E56"/>
    <mergeCell ref="A62:E62"/>
    <mergeCell ref="A68:E68"/>
    <mergeCell ref="A1:E1"/>
    <mergeCell ref="A2:A3"/>
    <mergeCell ref="B2:E2"/>
    <mergeCell ref="A22:E22"/>
    <mergeCell ref="A23:A24"/>
    <mergeCell ref="B23:E2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Nadeesh De SIlva</dc:creator>
  <cp:lastModifiedBy>User</cp:lastModifiedBy>
  <cp:lastPrinted>2024-10-14T09:24:27Z</cp:lastPrinted>
  <dcterms:created xsi:type="dcterms:W3CDTF">2020-03-22T14:09:23Z</dcterms:created>
  <dcterms:modified xsi:type="dcterms:W3CDTF">2026-07-15T18:05:36Z</dcterms:modified>
</cp:coreProperties>
</file>